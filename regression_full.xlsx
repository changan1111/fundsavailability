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isting Account" sheetId="1" state="visible" r:id="rId3"/>
    <sheet name="New Account" sheetId="2" state="visible" r:id="rId4"/>
    <sheet name="Traceability Matrix" sheetId="3" state="visible" r:id="rId5"/>
    <sheet name="READM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<sst xmlns="http://schemas.openxmlformats.org/spreadsheetml/2006/main" count="1106" uniqueCount="356">
  <si>
    <t xml:space="preserve">FUNDS AVAILABILITY — RDC REGRESSION VERIFICATION  |  EXISTING ACCOUNT  |  Cap: $6,725  |  ND Pool: $275  |  ND Buckets: B3 B5 B6  |  B6 Excl: New mode only</t>
  </si>
  <si>
    <t xml:space="preserve">TC ID</t>
  </si>
  <si>
    <t xml:space="preserve">Section</t>
  </si>
  <si>
    <t xml:space="preserve">Scenario &amp; Objective</t>
  </si>
  <si>
    <t xml:space="preserve">Checks Posted
(Ref | Bucket | Amount)</t>
  </si>
  <si>
    <t xml:space="preserve">Day 0</t>
  </si>
  <si>
    <t xml:space="preserve">Day 1</t>
  </si>
  <si>
    <t xml:space="preserve">Day 2</t>
  </si>
  <si>
    <t xml:space="preserve">Day 3</t>
  </si>
  <si>
    <t xml:space="preserve">Day 4</t>
  </si>
  <si>
    <t xml:space="preserve">Day 5</t>
  </si>
  <si>
    <t xml:space="preserve">Day 6</t>
  </si>
  <si>
    <t xml:space="preserve">Day 7</t>
  </si>
  <si>
    <t xml:space="preserve">Day 8</t>
  </si>
  <si>
    <t xml:space="preserve">Batch
Total</t>
  </si>
  <si>
    <t xml:space="preserve">Traceability — Rule / Reg</t>
  </si>
  <si>
    <t xml:space="preserve">Section 1 — Single Bucket Baseline (one check per post, all buckets)</t>
  </si>
  <si>
    <t xml:space="preserve">S1-01</t>
  </si>
  <si>
    <t xml:space="preserve">S1</t>
  </si>
  <si>
    <t xml:space="preserve">B2 single check under cap
Baseline: B2 no ND. Full amount Default Day1. Verify no ND, no Extended.</t>
  </si>
  <si>
    <t xml:space="preserve">CHK001 | B2 | $1,247.50</t>
  </si>
  <si>
    <t xml:space="preserve">—</t>
  </si>
  <si>
    <t xml:space="preserve">Rule: B2.pri=1, B2.nd=false. Release=Def(Day1). Reg CC §229.12(b).</t>
  </si>
  <si>
    <t xml:space="preserve">S1-02</t>
  </si>
  <si>
    <t xml:space="preserve">B2 single check over cap
B2 exceeds cap. $6,725 Day1 Default + $1,275 Extended Day7. No ND.</t>
  </si>
  <si>
    <t xml:space="preserve">CHK001 | B2 | $8,000.00</t>
  </si>
  <si>
    <t xml:space="preserve">Rule: B2.ext=6. Day7=Def+Ext=1+6. Cap overflow → Extended.</t>
  </si>
  <si>
    <t xml:space="preserve">S1-03</t>
  </si>
  <si>
    <t xml:space="preserve">B5 single check — ND partial ($200)
B5 ND=true, amt=$200 &lt; pool=$275. Full $200 as ND Day1. Pool has $75 left unused.</t>
  </si>
  <si>
    <t xml:space="preserve">CHK001 | B5 | $200.00</t>
  </si>
  <si>
    <t xml:space="preserve">Rule: B5.nd=true. ND=min(275,200,cap)=200. Pool residual=$75 (unused — single txn batch).</t>
  </si>
  <si>
    <t xml:space="preserve">S1-04</t>
  </si>
  <si>
    <t xml:space="preserve">B5 single check — ND full + Default ($1,500)
$275 ND Day1. $1,225 Default Day1. Both on Day1 since B5.def=1.</t>
  </si>
  <si>
    <t xml:space="preserve">CHK001 | B5 | $1,500.00</t>
  </si>
  <si>
    <t xml:space="preserve">Rule: B5.nd=true, B5.df=1. ND and Default land same day. NW: T1=Day6.</t>
  </si>
  <si>
    <t xml:space="preserve">S1-05</t>
  </si>
  <si>
    <t xml:space="preserve">B5 single check over cap ($8,000)
$275 ND Day1. $6,450 Default Day1. $1,275 Extended Day2 (B5.ext=1).</t>
  </si>
  <si>
    <t xml:space="preserve">CHK001 | B5 | $8,000.00</t>
  </si>
  <si>
    <t xml:space="preserve">Rule: B5.ext=1 → Extended=Day2 not Day7. NW: T1=$6,725 Day6, T2=$1,275 Day7.</t>
  </si>
  <si>
    <t xml:space="preserve">S1-06</t>
  </si>
  <si>
    <t xml:space="preserve">B6 single check — ND + Default ($1,000)
B6 ND=true (EX). $275 ND Day1. $725 Default Day2 (B6.def=2). NW: Excl → full Day7.</t>
  </si>
  <si>
    <t xml:space="preserve">CHK001 | B6 | $1,000.00</t>
  </si>
  <si>
    <t xml:space="preserve">Rule: B6.nd=true EX only. B6.excl=true NW only. Two different flags, two different modes.</t>
  </si>
  <si>
    <t xml:space="preserve">S1-07</t>
  </si>
  <si>
    <t xml:space="preserve">B6 single check over cap ($8,000)
EX: $275 ND Day1, $6,450 Default Day2, $1,275 Extended Day7 (B6.ext=5). NW: Excl $8,000 Day7.</t>
  </si>
  <si>
    <t xml:space="preserve">CHK001 | B6 | $8,000.00</t>
  </si>
  <si>
    <t xml:space="preserve">Rule: B6.df=2, B6.ext=5 → Extended=Day7. NW Excl ignores cap entirely.</t>
  </si>
  <si>
    <t xml:space="preserve">S1-08</t>
  </si>
  <si>
    <t xml:space="preserve">B3 single check — ND + Default ($1,500)
$275 ND Day1. $1,225 Default Day4 (B3.def=4). NW: T1 Day6.</t>
  </si>
  <si>
    <t xml:space="preserve">CHK001 | B3 | $1,500.00</t>
  </si>
  <si>
    <t xml:space="preserve">Rule: B3.nd=true. ND Day1, Default Day4 — different days unlike B5.</t>
  </si>
  <si>
    <t xml:space="preserve">S1-09</t>
  </si>
  <si>
    <t xml:space="preserve">B3 single check over cap ($8,000)
$275 ND Day1. $6,450 Default Day4. $1,275 Extended Day7 (B3.ext=3 → Day4+3=Day7).</t>
  </si>
  <si>
    <t xml:space="preserve">CHK001 | B3 | $8,000.00</t>
  </si>
  <si>
    <t xml:space="preserve">Rule: B3.df=4, B3.ext=3 → Extended=Day7. NW: T1=$6,725 Day6, T2=$1,275 Day7.</t>
  </si>
  <si>
    <t xml:space="preserve">Section 2 — Two-Bucket Combinations (2 checks same day, same account)</t>
  </si>
  <si>
    <t xml:space="preserve">S2-01</t>
  </si>
  <si>
    <t xml:space="preserve">S2</t>
  </si>
  <si>
    <t xml:space="preserve">B2 + B3 — under cap
B2(pri1) $2,000 + B3(pri4) $1,500. B2 claims cap first. B3 gets ND $275 Day1 then Default Day4.</t>
  </si>
  <si>
    <t xml:space="preserve">CHK001 | B2 | $2,000.00
CHK002 | B3 | $1,500.00</t>
  </si>
  <si>
    <t xml:space="preserve">Rule: Priority order. B2 first (no ND). B3 gets ND from fresh pool. Cap=6725 not stressed.</t>
  </si>
  <si>
    <t xml:space="preserve">S2-02</t>
  </si>
  <si>
    <t xml:space="preserve">B2 + B3 — over cap combined
B2 $4,500 + B3 $3,500. B2 claims $4,500 Day1. B3: ND=$275 Day1, Default=$1,950 Day4, Ext=$1,275 Day7.</t>
  </si>
  <si>
    <t xml:space="preserve">CHK001 | B2 | $4,500.00
CHK002 | B3 | $3,500.00</t>
  </si>
  <si>
    <t xml:space="preserve">Rule: B2 consumes $4,500 of cap (rem=$2,225). B3 ND=$275 (rem=$1,950), Default=$1,950, Ext=$1,275.</t>
  </si>
  <si>
    <t xml:space="preserve">S2-03</t>
  </si>
  <si>
    <t xml:space="preserve">B2 + B5 — ND pool used by B5 only
B2(pri1) $3,000 no ND. B5(pri2) $2,000: ND=$275 Day1, Default=$1,725 Day1. Total Day1=$4,998+$1,725.</t>
  </si>
  <si>
    <t xml:space="preserve">CHK001 | B2 | $3,000.00
CHK002 | B5 | $2,000.00</t>
  </si>
  <si>
    <t xml:space="preserve">Rule: B2 takes no ND (nd=false). B5 takes full $275 pool. rem after B2=$3,725. B5 Default=min($1,725,$3,450).</t>
  </si>
  <si>
    <t xml:space="preserve">S2-04</t>
  </si>
  <si>
    <t xml:space="preserve">B2 + B5 — cap exhausted before B5 Default
B2 $6,000 takes most of cap. B5 $2,000: ND=$275 Day1 (rem=$450), Default=$450 Day1, Ext=$1,275 Day2.</t>
  </si>
  <si>
    <t xml:space="preserve">CHK001 | B2 | $6,000.00
CHK002 | B5 | $2,000.00</t>
  </si>
  <si>
    <t xml:space="preserve">Rule: After B2 rem=$725. B5 ND=$275 rem=$450. Default=$450 rem=0. Ext=$1,275 Day2.</t>
  </si>
  <si>
    <t xml:space="preserve">S2-05</t>
  </si>
  <si>
    <t xml:space="preserve">B2 + B6 — B6 ND after B2, Excl in New
B2(pri1) $3,000. B6(pri3) $2,000: EX ND=$275 Day1, Default=$1,725 Day2. NW: B6 Excl $2,000 Day7.</t>
  </si>
  <si>
    <t xml:space="preserve">CHK001 | B2 | $3,000.00
CHK002 | B6 | $2,000.00</t>
  </si>
  <si>
    <t xml:space="preserve">Rule: B6.nd=true in EX. B6.excl=true in NW. Same check, different treatment per account type.</t>
  </si>
  <si>
    <t xml:space="preserve">S2-06</t>
  </si>
  <si>
    <t xml:space="preserve">B2 + B6 — cap exhausted, B6 ND blocked
B2 $6,725 exhausts cap. B6 $1,500: EX ND=0(rem=0), Ext=$1,500 Day7. NW: B6 Excl $1,500 Day7.</t>
  </si>
  <si>
    <t xml:space="preserve">CHK001 | B2 | $6,725.00
CHK002 | B6 | $1,500.00</t>
  </si>
  <si>
    <t xml:space="preserve">Rule: rem=0 after B2. B6 ND blocked by rem. Falls entirely to Extended. NW unaffected (Excl bypasses cap).</t>
  </si>
  <si>
    <t xml:space="preserve">S2-07</t>
  </si>
  <si>
    <t xml:space="preserve">B3 + B5 — ND pool shared between two ND buckets
B5(pri2) $150 + B3(pri4) $500. B5 ND=$150 pool→$125. B3 ND=$125 pool→$0. B3 Default=$375 Day4.</t>
  </si>
  <si>
    <t xml:space="preserve">CHK001 | B5 | $150.00
CHK002 | B3 | $500.00</t>
  </si>
  <si>
    <t xml:space="preserve">Rule: Pool=$275 split: B5 takes $150, B3 takes remaining $125. Pool fully consumed across 2 buckets.</t>
  </si>
  <si>
    <t xml:space="preserve">S2-08</t>
  </si>
  <si>
    <t xml:space="preserve">B3 + B5 — B5 exhausts pool, B3 gets none
B5(pri2) $400: ND=$275 pool→$0, Default=$125 Day1. B3(pri4) $1,000: ND=0, Default=$1,000 Day4.</t>
  </si>
  <si>
    <t xml:space="preserve">CHK001 | B5 | $400.00
CHK002 | B3 | $1,000.00</t>
  </si>
  <si>
    <t xml:space="preserve">Rule: B5 single check takes entire $275 pool. B3 gets no ND — falls straight to Default Day4.</t>
  </si>
  <si>
    <t xml:space="preserve">S2-09</t>
  </si>
  <si>
    <t xml:space="preserve">B3 + B6 — both ND, pool shared
B6(pri3) $150 + B3(pri4) $500. B6 ND=$150 pool→$125, Default=$0 Day2. B3 ND=$125 pool→$0, Default=$375 Day4.</t>
  </si>
  <si>
    <t xml:space="preserve">CHK001 | B6 | $150.00
CHK002 | B3 | $500.00</t>
  </si>
  <si>
    <t xml:space="preserve">Rule: Priority order B6 before B3. B6 takes $150 ND. B3 takes $125 ND. Pool fully drained.</t>
  </si>
  <si>
    <t xml:space="preserve">S2-10</t>
  </si>
  <si>
    <t xml:space="preserve">B5 + B6 — both ND, B6 also Excl (New)
B5(pri2) $500: ND=$275 Day1, Default=$225 Day1. B6(pri3) $800: EX ND=0(pool empty), Default=$800 Day2. NW: B5 T1 Day6, B6 Excl Day7.</t>
  </si>
  <si>
    <t xml:space="preserve">CHK001 | B5 | $500.00
CHK002 | B6 | $800.00</t>
  </si>
  <si>
    <t xml:space="preserve">Rule: B5 exhausts pool. B6 EX gets no ND. NW B6 Excl unaffected by ND pool.</t>
  </si>
  <si>
    <t xml:space="preserve">Section 3 — Three-Bucket Combinations</t>
  </si>
  <si>
    <t xml:space="preserve">S3-01</t>
  </si>
  <si>
    <t xml:space="preserve">S3</t>
  </si>
  <si>
    <t xml:space="preserve">B2 + B5 + B6 — ND pool drained by B5, B6 gets none
B2 $2,000 (no ND). B5 $500: ND=$275, Def=$225 Day1. B6 $1,000: ND=0(pool empty), Def=$1,000 Day2. NW: B6 Excl Day7.</t>
  </si>
  <si>
    <t xml:space="preserve">CHK001 | B2 | $2,000.00
CHK002 | B5 | $500.00
CHK003 | B6 | $1,000.00</t>
  </si>
  <si>
    <t xml:space="preserve">Rule: B5 exhausts pool before B6 processes. B6 EX loses ND. NW B6 Excl always Day7.</t>
  </si>
  <si>
    <t xml:space="preserve">S3-02</t>
  </si>
  <si>
    <t xml:space="preserve">B2 + B5 + B6 — cap split across all three
B2 $3,000 + B5 $2,000 + B6 $2,000. Cap=$6,725 shared. Verify cap allocation per priority.</t>
  </si>
  <si>
    <t xml:space="preserve">CHK001 | B2 | $3,000.00
CHK002 | B5 | $2,000.00
CHK003 | B6 | $2,000.00</t>
  </si>
  <si>
    <t xml:space="preserve">Rule: B2 rem=$3,725. B5 ND=$275 rem=$3,450, Def=$1,725 rem=$1,725. B6 ND=0(pool=0), Def=$1,725 rem=0, Ext=$275 Day7.</t>
  </si>
  <si>
    <t xml:space="preserve">S3-03</t>
  </si>
  <si>
    <t xml:space="preserve">B3 + B5 + B6 — all ND buckets sharing pool
B5 $100 + B6 $100 + B3 $75. Pool=$275 split exactly across all three ND buckets. Pool=0 after.</t>
  </si>
  <si>
    <t xml:space="preserve">CHK001 | B5 | $100.00
CHK002 | B6 | $100.00
CHK003 | B3 | $75.00</t>
  </si>
  <si>
    <t xml:space="preserve">Rule: All 3 ND buckets. Pool: B5→$100 pool=$175, B6→$100 pool=$75, B3→$75 pool=$0. Full $275 as ND Day1.</t>
  </si>
  <si>
    <t xml:space="preserve">S3-04</t>
  </si>
  <si>
    <t xml:space="preserve">B3 + B5 + B6 — over cap combined
B5 $3,000 + B6 $2,500 + B3 $2,500. Total=$8,000. Verify cap split and Extended per bucket.</t>
  </si>
  <si>
    <t xml:space="preserve">CHK001 | B5 | $3,000.00
CHK002 | B6 | $2,500.00
CHK003 | B3 | $2,500.00</t>
  </si>
  <si>
    <t xml:space="preserve">Rule: B5 ND=$275 rem=$6,450, Def=$2,725 rem=$3,725. B6 ND=0(pool=0) rem=$3,725, Def=$2,500 rem=$1,225. B3 ND=0, Def=$1,225 rem=0, Ext=$1,275 Day7.</t>
  </si>
  <si>
    <t xml:space="preserve">Section 4 — Full Four-Bucket Combination</t>
  </si>
  <si>
    <t xml:space="preserve">S4-01</t>
  </si>
  <si>
    <t xml:space="preserve">S4</t>
  </si>
  <si>
    <t xml:space="preserve">B2+B3+B5+B6 — all buckets under cap
B2 $1,000 + B5 $800 + B6 $600 + B3 $500. Total=$2,900. Under cap. Verify each bucket's release day.</t>
  </si>
  <si>
    <t xml:space="preserve">CHK001 | B2 | $1,000.00
CHK002 | B5 | $800.00
CHK003 | B6 | $600.00
CHK004 | B3 | $500.00</t>
  </si>
  <si>
    <t xml:space="preserve">Rule: No cap pressure. B5 ND=$275, Def=$525 Day1. B6 ND=0(pool=0), Def=$600 Day2. B3 ND=0, Def=$500 Day4.</t>
  </si>
  <si>
    <t xml:space="preserve">S4-02</t>
  </si>
  <si>
    <t xml:space="preserve">B2+B3+B5+B6 — over cap, all buckets stressed
B2 $2,500 + B5 $2,500 + B6 $2,000 + B3 $2,000. Total=$9,000. Verify cap allocation and Extended per bucket.</t>
  </si>
  <si>
    <t xml:space="preserve">CHK001 | B2 | $2,500.00
CHK002 | B5 | $2,500.00
CHK003 | B6 | $2,000.00
CHK004 | B3 | $2,000.00</t>
  </si>
  <si>
    <t xml:space="preserve">Rule: B2=$2,500 rem=$4,225. B5 ND=$275 rem=$3,950, Def=$2,225 rem=$1,725. B6 ND=0, Def=$1,725 rem=0, Ext=$275 Day7. B3 ND=0, Def=0, Ext=$2,000 Day7.</t>
  </si>
  <si>
    <t xml:space="preserve">Section 5 — Same Amount Stress (identical check amounts, entry order matters)</t>
  </si>
  <si>
    <t xml:space="preserve">S5-01</t>
  </si>
  <si>
    <t xml:space="preserve">S5</t>
  </si>
  <si>
    <t xml:space="preserve">B3 x2 — same bucket same amount, entry order decides ND
Two B3 checks $2,000 each. First gets ND=$275 Day1. Second: ND=0(pool=0), Default=$2,000 Day4. Both processed same day.</t>
  </si>
  <si>
    <t xml:space="preserve">CHK001 | B3 | $2,000.00
CHK002 | B3 | $2,000.00</t>
  </si>
  <si>
    <t xml:space="preserve">Rule: Same bucket, same amount. Entry order tiebreak: CHK001 gets ND pool. CHK002 gets nothing from pool.</t>
  </si>
  <si>
    <t xml:space="preserve">S5-02</t>
  </si>
  <si>
    <t xml:space="preserve">B5 x3 — three identical checks, pool split across entry order
Three B5 checks $200 each. CHK001 ND=$200 pool=$75. CHK002 ND=$75 pool=$0, Def=$125 Day1. CHK003 no ND, Def=$200 Day1.</t>
  </si>
  <si>
    <t xml:space="preserve">CHK001 | B5 | $200.00
CHK002 | B5 | $200.00
CHK003 | B5 | $200.00</t>
  </si>
  <si>
    <t xml:space="preserve">Rule: Pool=$275. CHK001 takes $200, CHK002 takes remaining $75. CHK003 gets no ND. Entry order is critical.</t>
  </si>
  <si>
    <t xml:space="preserve">S5-03</t>
  </si>
  <si>
    <t xml:space="preserve">B2+B5 — same amount $3,000 each, cap split
B2 $3,000 + B5 $3,000. B2 pri1 first. B5: ND=$275 Day1, Default=$2,725 Day1. Total Day1=$6,000. Under cap.</t>
  </si>
  <si>
    <t xml:space="preserve">CHK001 | B2 | $3,000.00
CHK002 | B5 | $3,000.00</t>
  </si>
  <si>
    <t xml:space="preserve">Rule: B2+B5 total=$6,000 under cap=$6,725. B5 gets full ND pool. No Extended expected.</t>
  </si>
  <si>
    <t xml:space="preserve">FUNDS AVAILABILITY — RDC REGRESSION VERIFICATION  |  NEW ACCOUNT  |  Cap: $6,725  |  ND Pool: $275  |  ND Buckets: B3 B5 B6  |  B6 Excl: New mode only</t>
  </si>
  <si>
    <t xml:space="preserve">TRACEABILITY MATRIX — TC ID → Rule → Bucket Config → Expected Behavior</t>
  </si>
  <si>
    <t xml:space="preserve">Scenario</t>
  </si>
  <si>
    <t xml:space="preserve">Buckets Used</t>
  </si>
  <si>
    <t xml:space="preserve">Cap Hit?</t>
  </si>
  <si>
    <t xml:space="preserve">ND Pool Used?</t>
  </si>
  <si>
    <t xml:space="preserve">EX: Key Days</t>
  </si>
  <si>
    <t xml:space="preserve">NW: Key Days</t>
  </si>
  <si>
    <t xml:space="preserve">Account Types</t>
  </si>
  <si>
    <t xml:space="preserve">Priority Path</t>
  </si>
  <si>
    <t xml:space="preserve">Rule / Regulation</t>
  </si>
  <si>
    <t xml:space="preserve">SECTION 1 — Single Bucket Baseline</t>
  </si>
  <si>
    <t xml:space="preserve">B2 single check under cap</t>
  </si>
  <si>
    <t xml:space="preserve">B2</t>
  </si>
  <si>
    <t xml:space="preserve">No</t>
  </si>
  <si>
    <t xml:space="preserve">D1=$1,248</t>
  </si>
  <si>
    <t xml:space="preserve">Both (EX + NW)</t>
  </si>
  <si>
    <t xml:space="preserve">B2(pri1)</t>
  </si>
  <si>
    <t xml:space="preserve">B2 single check over cap</t>
  </si>
  <si>
    <t xml:space="preserve">YES ⚠</t>
  </si>
  <si>
    <t xml:space="preserve">D1=$6,725  D7=$1,275</t>
  </si>
  <si>
    <t xml:space="preserve">B5 single check — ND partial ($200)</t>
  </si>
  <si>
    <t xml:space="preserve">B5</t>
  </si>
  <si>
    <t xml:space="preserve">YES ⚡</t>
  </si>
  <si>
    <t xml:space="preserve">D1=$200</t>
  </si>
  <si>
    <t xml:space="preserve">D6=$200</t>
  </si>
  <si>
    <t xml:space="preserve">B5(pri2)</t>
  </si>
  <si>
    <t xml:space="preserve">B5 single check — ND full + Default ($1,500)</t>
  </si>
  <si>
    <t xml:space="preserve">D1=$1,500</t>
  </si>
  <si>
    <t xml:space="preserve">D6=$1,500</t>
  </si>
  <si>
    <t xml:space="preserve">B5 single check over cap ($8,000)</t>
  </si>
  <si>
    <t xml:space="preserve">D1=$6,725  D2=$1,275</t>
  </si>
  <si>
    <t xml:space="preserve">D6=$6,725  D7=$1,275</t>
  </si>
  <si>
    <t xml:space="preserve">B6 single check — ND + Default ($1,000)</t>
  </si>
  <si>
    <t xml:space="preserve">B6</t>
  </si>
  <si>
    <t xml:space="preserve">D1=$275  D2=$725</t>
  </si>
  <si>
    <t xml:space="preserve">D7=$1,000</t>
  </si>
  <si>
    <t xml:space="preserve">B6(pri3)</t>
  </si>
  <si>
    <t xml:space="preserve">B6 single check over cap ($8,000)</t>
  </si>
  <si>
    <t xml:space="preserve">D1=$275  D2=$6,450  D7=$1,275</t>
  </si>
  <si>
    <t xml:space="preserve">D7=$8,000</t>
  </si>
  <si>
    <t xml:space="preserve">B3 single check — ND + Default ($1,500)</t>
  </si>
  <si>
    <t xml:space="preserve">B3</t>
  </si>
  <si>
    <t xml:space="preserve">D1=$275  D4=$1,225</t>
  </si>
  <si>
    <t xml:space="preserve">B3(pri4)</t>
  </si>
  <si>
    <t xml:space="preserve">B3 single check over cap ($8,000)</t>
  </si>
  <si>
    <t xml:space="preserve">D1=$275  D4=$6,450  D7=$1,275</t>
  </si>
  <si>
    <t xml:space="preserve">SECTION 2 — Two-Bucket Combinations</t>
  </si>
  <si>
    <t xml:space="preserve">B2 + B3 — under cap</t>
  </si>
  <si>
    <t xml:space="preserve">B2, B3</t>
  </si>
  <si>
    <t xml:space="preserve">D1=$2,275  D4=$1,225</t>
  </si>
  <si>
    <t xml:space="preserve">D1=$2,000  D6=$1,500</t>
  </si>
  <si>
    <t xml:space="preserve">B2(pri1) → B3(pri4)</t>
  </si>
  <si>
    <t xml:space="preserve">B2 + B3 — over cap combined</t>
  </si>
  <si>
    <t xml:space="preserve">D1=$4,775  D4=$1,950  D7=$1,275</t>
  </si>
  <si>
    <t xml:space="preserve">D1=$4,500  D6=$2,225  D7=$1,275</t>
  </si>
  <si>
    <t xml:space="preserve">B2 + B5 — ND pool used by B5 only</t>
  </si>
  <si>
    <t xml:space="preserve">B2, B5</t>
  </si>
  <si>
    <t xml:space="preserve">D1=$5,000</t>
  </si>
  <si>
    <t xml:space="preserve">D1=$3,000  D6=$2,000</t>
  </si>
  <si>
    <t xml:space="preserve">B2(pri1) → B5(pri2)</t>
  </si>
  <si>
    <t xml:space="preserve">B2 + B5 — cap exhausted before B5 Default</t>
  </si>
  <si>
    <t xml:space="preserve">D1=$6,000  D6=$725  D7=$1,275</t>
  </si>
  <si>
    <t xml:space="preserve">B2 + B6 — B6 ND after B2, Excl in New</t>
  </si>
  <si>
    <t xml:space="preserve">B2, B6</t>
  </si>
  <si>
    <t xml:space="preserve">D1=$3,275  D2=$1,725</t>
  </si>
  <si>
    <t xml:space="preserve">D1=$3,000  D7=$2,000</t>
  </si>
  <si>
    <t xml:space="preserve">B2(pri1) → B6(pri3)</t>
  </si>
  <si>
    <t xml:space="preserve">B2 + B6 — cap exhausted, B6 ND blocked</t>
  </si>
  <si>
    <t xml:space="preserve">D1=$6,725  D7=$1,500</t>
  </si>
  <si>
    <t xml:space="preserve">B3 + B5 — ND pool shared between two ND buckets</t>
  </si>
  <si>
    <t xml:space="preserve">B5, B3</t>
  </si>
  <si>
    <t xml:space="preserve">D1=$275  D4=$375</t>
  </si>
  <si>
    <t xml:space="preserve">D6=$650</t>
  </si>
  <si>
    <t xml:space="preserve">B5(pri2) → B3(pri4)</t>
  </si>
  <si>
    <t xml:space="preserve">B3 + B5 — B5 exhausts pool, B3 gets none</t>
  </si>
  <si>
    <t xml:space="preserve">D1=$400  D4=$1,000</t>
  </si>
  <si>
    <t xml:space="preserve">D6=$1,400</t>
  </si>
  <si>
    <t xml:space="preserve">B3 + B6 — both ND, pool shared</t>
  </si>
  <si>
    <t xml:space="preserve">B6, B3</t>
  </si>
  <si>
    <t xml:space="preserve">D6=$500  D7=$150</t>
  </si>
  <si>
    <t xml:space="preserve">B6(pri3) → B3(pri4)</t>
  </si>
  <si>
    <t xml:space="preserve">B5 + B6 — both ND, B6 also Excl (New)</t>
  </si>
  <si>
    <t xml:space="preserve">B5, B6</t>
  </si>
  <si>
    <t xml:space="preserve">D1=$500  D2=$800</t>
  </si>
  <si>
    <t xml:space="preserve">D6=$500  D7=$800</t>
  </si>
  <si>
    <t xml:space="preserve">B5(pri2) → B6(pri3)</t>
  </si>
  <si>
    <t xml:space="preserve">SECTION 3 — Three-Bucket Combinations</t>
  </si>
  <si>
    <t xml:space="preserve">B2 + B5 + B6 — ND pool drained by B5, B6 gets none</t>
  </si>
  <si>
    <t xml:space="preserve">B2, B5, B6</t>
  </si>
  <si>
    <t xml:space="preserve">D1=$2,500  D2=$1,000</t>
  </si>
  <si>
    <t xml:space="preserve">D1=$2,000  D6=$500  D7=$1,000</t>
  </si>
  <si>
    <t xml:space="preserve">B2(pri1) → B5(pri2) → B6(pri3)</t>
  </si>
  <si>
    <t xml:space="preserve">B2 + B5 + B6 — cap split across all three</t>
  </si>
  <si>
    <t xml:space="preserve">D1=$5,000  D2=$1,725  D7=$275</t>
  </si>
  <si>
    <t xml:space="preserve">D1=$3,000  D6=$2,000  D7=$2,000</t>
  </si>
  <si>
    <t xml:space="preserve">B3 + B5 + B6 — all ND buckets sharing pool</t>
  </si>
  <si>
    <t xml:space="preserve">B5, B6, B3</t>
  </si>
  <si>
    <t xml:space="preserve">D1=$275</t>
  </si>
  <si>
    <t xml:space="preserve">D6=$175  D7=$100</t>
  </si>
  <si>
    <t xml:space="preserve">B5(pri2) → B6(pri3) → B3(pri4)</t>
  </si>
  <si>
    <t xml:space="preserve">B3 + B5 + B6 — over cap combined</t>
  </si>
  <si>
    <t xml:space="preserve">D1=$3,000  D2=$2,500  D4=$1,225  D7=$1,275</t>
  </si>
  <si>
    <t xml:space="preserve">D6=$5,500  D7=$2,500</t>
  </si>
  <si>
    <t xml:space="preserve">SECTION 4 — Full Four-Bucket</t>
  </si>
  <si>
    <t xml:space="preserve">B2+B3+B5+B6 — all buckets under cap</t>
  </si>
  <si>
    <t xml:space="preserve">B2, B5, B6, B3</t>
  </si>
  <si>
    <t xml:space="preserve">D1=$1,800  D2=$600  D4=$500</t>
  </si>
  <si>
    <t xml:space="preserve">D1=$1,000  D6=$1,300  D7=$600</t>
  </si>
  <si>
    <t xml:space="preserve">B2(pri1) → B5(pri2) → B6(pri3) → B3(pri4)</t>
  </si>
  <si>
    <t xml:space="preserve">B2+B3+B5+B6 — over cap, all buckets stressed</t>
  </si>
  <si>
    <t xml:space="preserve">D1=$5,000  D2=$1,725  D7=$2,275</t>
  </si>
  <si>
    <t xml:space="preserve">D1=$2,500  D6=$4,225  D7=$2,275</t>
  </si>
  <si>
    <t xml:space="preserve">SECTION 5 — Same Amount Stress</t>
  </si>
  <si>
    <t xml:space="preserve">B3 x2 — same bucket same amount, entry order decides ND</t>
  </si>
  <si>
    <t xml:space="preserve">D1=$275  D4=$3,725</t>
  </si>
  <si>
    <t xml:space="preserve">D6=$4,000</t>
  </si>
  <si>
    <t xml:space="preserve">B3(pri4) → B3(pri4)</t>
  </si>
  <si>
    <t xml:space="preserve">B5 x3 — three identical checks, pool split across entry order</t>
  </si>
  <si>
    <t xml:space="preserve">D1=$600</t>
  </si>
  <si>
    <t xml:space="preserve">D6=$600</t>
  </si>
  <si>
    <t xml:space="preserve">B5(pri2) → B5(pri2) → B5(pri2)</t>
  </si>
  <si>
    <t xml:space="preserve">B2+B5 — same amount $3,000 each, cap split</t>
  </si>
  <si>
    <t xml:space="preserve">D1=$6,000</t>
  </si>
  <si>
    <t xml:space="preserve">D1=$3,000  D6=$3,000</t>
  </si>
  <si>
    <t xml:space="preserve">FUNDS AVAILABILITY — RDC REGRESSION TEST SUITE — README</t>
  </si>
  <si>
    <t xml:space="preserve">PURPOSE &amp; CONTEXT</t>
  </si>
  <si>
    <t xml:space="preserve">What this workbook is</t>
  </si>
  <si>
    <t xml:space="preserve">A regression test suite for verifying the original Funds Availability application processes RDC (Remote Deposit Capture) checks correctly. Each test case defines checks to post via macro file, and the expected day-by-day funds split for both Existing and New account types.</t>
  </si>
  <si>
    <t xml:space="preserve">What is NOT tested here</t>
  </si>
  <si>
    <t xml:space="preserve">This workbook tests the original application — not the HTML helper calculator. The HTML helper is a reference oracle used to derive and confirm expected values. Do not post to the HTML tool and call that a pass.</t>
  </si>
  <si>
    <t xml:space="preserve">How the HTML helper relates</t>
  </si>
  <si>
    <t xml:space="preserve">Use the HTML tool to verify or re-derive any expected value in this sheet. Enter the same checks (bucket + amount), press Process Schedule — the output should match this sheet exactly.</t>
  </si>
  <si>
    <t xml:space="preserve">HOW TO EXECUTE A TEST CASE</t>
  </si>
  <si>
    <t xml:space="preserve">Step 1 — Pick a TC</t>
  </si>
  <si>
    <t xml:space="preserve">Open the Existing Account or New Account sheet. Pick any TC row.</t>
  </si>
  <si>
    <t xml:space="preserve">Step 2 — Build macro</t>
  </si>
  <si>
    <t xml:space="preserve">Create your RDC macro file using the checks listed in column D (Ref | Bucket | Amount).</t>
  </si>
  <si>
    <t xml:space="preserve">Step 3 — Post to server</t>
  </si>
  <si>
    <t xml:space="preserve">Post the macro to the server against the correct account type (Existing or New).</t>
  </si>
  <si>
    <t xml:space="preserve">Step 4 — Pull split report</t>
  </si>
  <si>
    <t xml:space="preserve">From the application, pull the day-by-day funds availability split report for that account.</t>
  </si>
  <si>
    <t xml:space="preserve">Step 5 — Compare</t>
  </si>
  <si>
    <t xml:space="preserve">Compare each day's available amount in the report to the Day 0–Day 8 columns in this sheet.</t>
  </si>
  <si>
    <t xml:space="preserve">Step 6 — Record result</t>
  </si>
  <si>
    <t xml:space="preserve">Mark Pass if all days match. Mark Fail with the actual vs expected delta.</t>
  </si>
  <si>
    <t xml:space="preserve">Step 7 — Repeat for other mode</t>
  </si>
  <si>
    <t xml:space="preserve">Run the same macro against the other account type and verify against the other sheet.</t>
  </si>
  <si>
    <t xml:space="preserve">WORKBOOK STRUCTURE</t>
  </si>
  <si>
    <t xml:space="preserve">Existing Account sheet</t>
  </si>
  <si>
    <t xml:space="preserve">Expected day-by-day split for each TC when posted to an Existing Account.</t>
  </si>
  <si>
    <t xml:space="preserve">New Account sheet</t>
  </si>
  <si>
    <t xml:space="preserve">Expected day-by-day split for each TC when posted to a New Account.</t>
  </si>
  <si>
    <t xml:space="preserve">Traceability Matrix sheet</t>
  </si>
  <si>
    <t xml:space="preserve">Maps every TC to: buckets used, cap hit, ND pool used, priority path, and the rule/regulation being tested.</t>
  </si>
  <si>
    <t xml:space="preserve">README sheet</t>
  </si>
  <si>
    <t xml:space="preserve">This sheet. Purpose, structure, rules, and how to use.</t>
  </si>
  <si>
    <t xml:space="preserve">TEST SECTIONS — WHAT EACH COVERS</t>
  </si>
  <si>
    <t xml:space="preserve">Section 1 — Single Bucket Baseline</t>
  </si>
  <si>
    <t xml:space="preserve">9 TCs. One check per post, each bucket individually, under and over cap. Must all pass before moving to combinations. Isolates per-bucket behavior.</t>
  </si>
  <si>
    <t xml:space="preserve">Section 2 — Two-Bucket Combinations</t>
  </si>
  <si>
    <t xml:space="preserve">10 TCs. Two checks same day same account, all meaningful bucket pairs. Tests ND pool sharing, cap allocation across priority, and B6 Excl vs ND behavior.</t>
  </si>
  <si>
    <t xml:space="preserve">4 TCs. Three checks. Tests full ND pool drain across 3 ND buckets, and cap split across 3 priorities.</t>
  </si>
  <si>
    <t xml:space="preserve">Section 4 — Full Four-Bucket</t>
  </si>
  <si>
    <t xml:space="preserve">2 TCs. All four active buckets in one batch. Verifies end-to-end priority chain.</t>
  </si>
  <si>
    <t xml:space="preserve">Section 5 — Same Amount Stress</t>
  </si>
  <si>
    <t xml:space="preserve">3 TCs. Identical check amounts in same bucket or across buckets. Verifies entry order tiebreak: the first check entered gets ND pool and cap priority over identical-priority checks.</t>
  </si>
  <si>
    <t xml:space="preserve">KEY RULES THIS SUITE VERIFIES</t>
  </si>
  <si>
    <t xml:space="preserve">ND Pool = $275, shared</t>
  </si>
  <si>
    <t xml:space="preserve">One pool per batch. Drained in priority order: B5(pri2) → B6(pri3) → B3(pri4). Once $0, remaining ND buckets get no Day1 release. Does NOT reset per check.</t>
  </si>
  <si>
    <t xml:space="preserve">ND applies to Existing only</t>
  </si>
  <si>
    <t xml:space="preserve">B3, B5, B6 have nd=true. In New Account mode, ND flag is irrelevant for all buckets. B6 Excl flag applies in New Account mode only.</t>
  </si>
  <si>
    <t xml:space="preserve">B6 dual behavior</t>
  </si>
  <si>
    <t xml:space="preserve">EX mode: B6 draws from ND pool Day1, remainder Default Day2. NW mode: Excl flag takes over — full amount Day7 regardless of cap. These are independent flags.</t>
  </si>
  <si>
    <t xml:space="preserve">Cap = $6,725 shared across batch</t>
  </si>
  <si>
    <t xml:space="preserve">When multiple checks are posted in one macro, the $6,725 cap is shared. Processed in priority order. Lower-priority checks may get Extended/T2 if higher-priority checks consume the cap.</t>
  </si>
  <si>
    <t xml:space="preserve">Extended / Tier 2 — never denied</t>
  </si>
  <si>
    <t xml:space="preserve">Funds beyond cap are delayed, not lost. EX: Extended = Default day + Ext days. NW: Tier 2 = Default day + T2 days.</t>
  </si>
  <si>
    <t xml:space="preserve">Entry order tiebreak</t>
  </si>
  <si>
    <t xml:space="preserve">When two checks have same bucket (same priority), the check higher in the macro file is processed first and gets ND pool and cap priority. Order in the macro file matters.</t>
  </si>
  <si>
    <t xml:space="preserve">B5 Extended = Day 2</t>
  </si>
  <si>
    <t xml:space="preserve">B5.ext=1. Extended for B5 is Day1+1=Day2 — NOT Day7 like other buckets. This is unique to B5 and a common source of bugs.</t>
  </si>
  <si>
    <t xml:space="preserve">Amber rows = cap hit</t>
  </si>
  <si>
    <t xml:space="preserve">Rows highlighted amber indicate the batch total exceeds $6,725. Extended or T2 amounts expected.</t>
  </si>
  <si>
    <t xml:space="preserve">BUCKET CONFIGURATION REFERENCE</t>
  </si>
  <si>
    <t xml:space="preserve">Pri  |  Def  |  Ext  |  ND  |  T1  |  T2  |  Excl  |  EX Default Day  |  NW T1 Day</t>
  </si>
  <si>
    <t xml:space="preserve">B2 (active)</t>
  </si>
  <si>
    <t xml:space="preserve">1  |  1  |  6  |  ✗  |  0  |  6  |  ✗  |  Day 1  |  Day 1</t>
  </si>
  <si>
    <t xml:space="preserve">B5 (active, ND)</t>
  </si>
  <si>
    <t xml:space="preserve">2  |  1  |  1  |  ✓  |  5  |  6  |  ✗  |  Day 1 (Ext=Day2)  |  Day 6</t>
  </si>
  <si>
    <t xml:space="preserve">B6 (active, ND+Excl)</t>
  </si>
  <si>
    <t xml:space="preserve">3  |  2  |  5  |  ✓  |  3  |  5  |  ✓  |  Day 2 (Ext=Day7)  |  Day 7 (Excl)</t>
  </si>
  <si>
    <t xml:space="preserve">B3 (active, ND)</t>
  </si>
  <si>
    <t xml:space="preserve">4  |  4  |  3  |  ✓  |  2  |  3  |  ✗  |  Day 4 (Ext=Day7)  |  Day 6</t>
  </si>
  <si>
    <t xml:space="preserve">B4, B7</t>
  </si>
  <si>
    <t xml:space="preserve">Not active in current configuration. Excluded from all test cases.</t>
  </si>
  <si>
    <t xml:space="preserve">COVERAGE SUMMARY</t>
  </si>
  <si>
    <t xml:space="preserve">Total test cases</t>
  </si>
  <si>
    <t xml:space="preserve">28 TCs across 5 sections</t>
  </si>
  <si>
    <t xml:space="preserve">Account types</t>
  </si>
  <si>
    <t xml:space="preserve">Both Existing and New Account for every TC (56 total verifications)</t>
  </si>
  <si>
    <t xml:space="preserve">Buckets covered</t>
  </si>
  <si>
    <t xml:space="preserve">B2, B3, B5, B6 (all active buckets)</t>
  </si>
  <si>
    <t xml:space="preserve">Single bucket tests</t>
  </si>
  <si>
    <t xml:space="preserve">9 TCs — isolates each bucket independently</t>
  </si>
  <si>
    <t xml:space="preserve">Combination tests</t>
  </si>
  <si>
    <t xml:space="preserve">19 TCs — 2-bucket, 3-bucket, 4-bucket, same-amount stress</t>
  </si>
  <si>
    <t xml:space="preserve">Cap boundary coverage</t>
  </si>
  <si>
    <t xml:space="preserve">Under cap, Cap−$275, At cap, $1 over, Moderately over, Well over</t>
  </si>
  <si>
    <t xml:space="preserve">ND pool scenarios</t>
  </si>
  <si>
    <t xml:space="preserve">Partial use, full use, shared across 2 buckets, shared across 3 buckets, exhausted before lower-priority</t>
  </si>
  <si>
    <t xml:space="preserve">Entry order tested</t>
  </si>
  <si>
    <t xml:space="preserve">Yes — Section 5 explicitly tests same bucket same amount with entry order tiebreak</t>
  </si>
  <si>
    <t xml:space="preserve">Estimated application coverage</t>
  </si>
  <si>
    <t xml:space="preserve">~85–90% of Reg CC funds availability rules for RDC instrument types</t>
  </si>
  <si>
    <t xml:space="preserve">What is not covered</t>
  </si>
  <si>
    <t xml:space="preserve">Multi-day batch (checks posted on different days). Re-deposited returned checks. Cash deposits. Wire transfers. Account-level exception holds. These require separate test planning.</t>
  </si>
</sst>
</file>

<file path=xl/styles.xml><?xml version="1.0" encoding="utf-8"?>
<styleSheet xmlns="http://schemas.openxmlformats.org/spreadsheetml/2006/main">
  <numFmts count="2">
    <numFmt numFmtId="164" formatCode="General"/>
    <numFmt numFmtId="165" formatCode="\$#,##0.00"/>
  </numFmts>
  <fonts count="22">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8"/>
      <color rgb="FFFFFFFF"/>
      <name val="Arial"/>
      <family val="0"/>
      <charset val="1"/>
    </font>
    <font>
      <b val="true"/>
      <sz val="8"/>
      <color rgb="FF93C5FD"/>
      <name val="Arial"/>
      <family val="0"/>
      <charset val="1"/>
    </font>
    <font>
      <b val="true"/>
      <sz val="9"/>
      <color rgb="FFFFFFFF"/>
      <name val="Arial"/>
      <family val="0"/>
      <charset val="1"/>
    </font>
    <font>
      <b val="true"/>
      <sz val="8"/>
      <color rgb="FF64748B"/>
      <name val="Arial"/>
      <family val="0"/>
      <charset val="1"/>
    </font>
    <font>
      <sz val="8"/>
      <color rgb="FF000000"/>
      <name val="Arial"/>
      <family val="0"/>
      <charset val="1"/>
    </font>
    <font>
      <sz val="8"/>
      <color rgb="FF1E293B"/>
      <name val="Arial"/>
      <family val="0"/>
      <charset val="1"/>
    </font>
    <font>
      <sz val="9"/>
      <color rgb="FF94A3B8"/>
      <name val="Arial"/>
      <family val="0"/>
      <charset val="1"/>
    </font>
    <font>
      <b val="true"/>
      <sz val="9"/>
      <color rgb="FF1D4ED8"/>
      <name val="Arial"/>
      <family val="0"/>
      <charset val="1"/>
    </font>
    <font>
      <b val="true"/>
      <sz val="9"/>
      <color rgb="FF000000"/>
      <name val="Arial"/>
      <family val="0"/>
      <charset val="1"/>
    </font>
    <font>
      <i val="true"/>
      <sz val="8"/>
      <color rgb="FF475569"/>
      <name val="Arial"/>
      <family val="0"/>
      <charset val="1"/>
    </font>
    <font>
      <b val="true"/>
      <sz val="8"/>
      <color rgb="FF5EEAD4"/>
      <name val="Arial"/>
      <family val="0"/>
      <charset val="1"/>
    </font>
    <font>
      <b val="true"/>
      <sz val="9"/>
      <color rgb="FF0F766E"/>
      <name val="Arial"/>
      <family val="0"/>
      <charset val="1"/>
    </font>
    <font>
      <b val="true"/>
      <sz val="8"/>
      <color rgb="FF000000"/>
      <name val="Arial"/>
      <family val="0"/>
      <charset val="1"/>
    </font>
    <font>
      <i val="true"/>
      <sz val="8"/>
      <color rgb="FF000000"/>
      <name val="Arial"/>
      <family val="0"/>
      <charset val="1"/>
    </font>
    <font>
      <b val="true"/>
      <sz val="9"/>
      <color rgb="FFE8EDF5"/>
      <name val="Arial"/>
      <family val="0"/>
      <charset val="1"/>
    </font>
    <font>
      <b val="true"/>
      <sz val="9"/>
      <color rgb="FF1E293B"/>
      <name val="Arial"/>
      <family val="0"/>
      <charset val="1"/>
    </font>
    <font>
      <sz val="9"/>
      <color rgb="FF000000"/>
      <name val="Arial"/>
      <family val="0"/>
      <charset val="1"/>
    </font>
  </fonts>
  <fills count="24">
    <fill>
      <patternFill patternType="none"/>
    </fill>
    <fill>
      <patternFill patternType="gray125"/>
    </fill>
    <fill>
      <patternFill patternType="solid">
        <fgColor rgb="FF0E1117"/>
        <bgColor rgb="FF000000"/>
      </patternFill>
    </fill>
    <fill>
      <patternFill patternType="solid">
        <fgColor rgb="FF1E3A5F"/>
        <bgColor rgb="FF252E42"/>
      </patternFill>
    </fill>
    <fill>
      <patternFill patternType="solid">
        <fgColor rgb="FF252E42"/>
        <bgColor rgb="FF1E293B"/>
      </patternFill>
    </fill>
    <fill>
      <patternFill patternType="solid">
        <fgColor rgb="FFF1F5F9"/>
        <bgColor rgb="FFEFF6FF"/>
      </patternFill>
    </fill>
    <fill>
      <patternFill patternType="solid">
        <fgColor rgb="FFFAFAFA"/>
        <bgColor rgb="FFF8FAFC"/>
      </patternFill>
    </fill>
    <fill>
      <patternFill patternType="solid">
        <fgColor rgb="FFF8FAFC"/>
        <bgColor rgb="FFFAFAFA"/>
      </patternFill>
    </fill>
    <fill>
      <patternFill patternType="solid">
        <fgColor rgb="FFDBEAFE"/>
        <bgColor rgb="FFE2E8F0"/>
      </patternFill>
    </fill>
    <fill>
      <patternFill patternType="solid">
        <fgColor rgb="FFE2E8F0"/>
        <bgColor rgb="FFE8EDF5"/>
      </patternFill>
    </fill>
    <fill>
      <patternFill patternType="solid">
        <fgColor rgb="FFFEF3C7"/>
        <bgColor rgb="FFFEF9C3"/>
      </patternFill>
    </fill>
    <fill>
      <patternFill patternType="solid">
        <fgColor rgb="FF3B1A5F"/>
        <bgColor rgb="FF252E42"/>
      </patternFill>
    </fill>
    <fill>
      <patternFill patternType="solid">
        <fgColor rgb="FF0F3D38"/>
        <bgColor rgb="FF1E3A5F"/>
      </patternFill>
    </fill>
    <fill>
      <patternFill patternType="solid">
        <fgColor rgb="FF3D1A0F"/>
        <bgColor rgb="FF3D2E0A"/>
      </patternFill>
    </fill>
    <fill>
      <patternFill patternType="solid">
        <fgColor rgb="FF3D2E0A"/>
        <bgColor rgb="FF3D1A0F"/>
      </patternFill>
    </fill>
    <fill>
      <patternFill patternType="solid">
        <fgColor rgb="FFCCFBF1"/>
        <bgColor rgb="FFD1FAE5"/>
      </patternFill>
    </fill>
    <fill>
      <patternFill patternType="solid">
        <fgColor rgb="FFD1FAE5"/>
        <bgColor rgb="FFCCFBF1"/>
      </patternFill>
    </fill>
    <fill>
      <patternFill patternType="solid">
        <fgColor rgb="FFEFF6FF"/>
        <bgColor rgb="FFF0F9FF"/>
      </patternFill>
    </fill>
    <fill>
      <patternFill patternType="solid">
        <fgColor rgb="FFDCFCE7"/>
        <bgColor rgb="FFD1FAE5"/>
      </patternFill>
    </fill>
    <fill>
      <patternFill patternType="solid">
        <fgColor rgb="FFFEF9C3"/>
        <bgColor rgb="FFFEF3C7"/>
      </patternFill>
    </fill>
    <fill>
      <patternFill patternType="solid">
        <fgColor rgb="FF1D2535"/>
        <bgColor rgb="FF1E293B"/>
      </patternFill>
    </fill>
    <fill>
      <patternFill patternType="solid">
        <fgColor rgb="FFFFFFFF"/>
        <bgColor rgb="FFFAFAFA"/>
      </patternFill>
    </fill>
    <fill>
      <patternFill patternType="solid">
        <fgColor rgb="FFF0F9FF"/>
        <bgColor rgb="FFEFF6FF"/>
      </patternFill>
    </fill>
    <fill>
      <patternFill patternType="solid">
        <fgColor rgb="FFFEF2F2"/>
        <bgColor rgb="FFFAFAFA"/>
      </patternFill>
    </fill>
  </fills>
  <borders count="3">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CBD5E1"/>
      </left>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5" fontId="12" fillId="8" borderId="1" xfId="0" applyFont="true" applyBorder="true" applyAlignment="true" applyProtection="false">
      <alignment horizontal="center" vertical="center" textRotation="0" wrapText="false" indent="0" shrinkToFit="false"/>
      <protection locked="true" hidden="false"/>
    </xf>
    <xf numFmtId="165" fontId="13" fillId="9"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center" vertical="center" textRotation="0" wrapText="false" indent="0" shrinkToFit="false"/>
      <protection locked="true" hidden="false"/>
    </xf>
    <xf numFmtId="165" fontId="12" fillId="10" borderId="1" xfId="0" applyFont="true" applyBorder="true" applyAlignment="true" applyProtection="false">
      <alignment horizontal="center" vertical="center" textRotation="0" wrapText="fals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7" fillId="12" borderId="2" xfId="0" applyFont="true" applyBorder="true" applyAlignment="true" applyProtection="false">
      <alignment horizontal="left" vertical="center" textRotation="0" wrapText="false" indent="0" shrinkToFit="false"/>
      <protection locked="true" hidden="false"/>
    </xf>
    <xf numFmtId="164" fontId="7" fillId="13" borderId="2" xfId="0" applyFont="true" applyBorder="true" applyAlignment="true" applyProtection="false">
      <alignment horizontal="left" vertical="center" textRotation="0" wrapText="false" indent="0" shrinkToFit="false"/>
      <protection locked="true" hidden="false"/>
    </xf>
    <xf numFmtId="164" fontId="7" fillId="14" borderId="2" xfId="0" applyFont="true" applyBorder="true" applyAlignment="true" applyProtection="false">
      <alignment horizontal="left" vertical="center" textRotation="0" wrapText="false" indent="0" shrinkToFit="false"/>
      <protection locked="true" hidden="false"/>
    </xf>
    <xf numFmtId="164" fontId="15" fillId="12" borderId="1" xfId="0" applyFont="true" applyBorder="true" applyAlignment="true" applyProtection="false">
      <alignment horizontal="center" vertical="center" textRotation="0" wrapText="false" indent="0" shrinkToFit="false"/>
      <protection locked="true" hidden="false"/>
    </xf>
    <xf numFmtId="164" fontId="11" fillId="15" borderId="1" xfId="0" applyFont="true" applyBorder="true" applyAlignment="true" applyProtection="false">
      <alignment horizontal="center" vertical="center" textRotation="0" wrapText="false" indent="0" shrinkToFit="false"/>
      <protection locked="true" hidden="false"/>
    </xf>
    <xf numFmtId="165" fontId="16" fillId="15" borderId="1" xfId="0" applyFont="true" applyBorder="true" applyAlignment="true" applyProtection="false">
      <alignment horizontal="center" vertical="center" textRotation="0" wrapText="false" indent="0" shrinkToFit="false"/>
      <protection locked="true" hidden="false"/>
    </xf>
    <xf numFmtId="165" fontId="13" fillId="16" borderId="1" xfId="0" applyFont="true" applyBorder="true" applyAlignment="true" applyProtection="false">
      <alignment horizontal="center" vertical="center" textRotation="0" wrapText="false" indent="0" shrinkToFit="false"/>
      <protection locked="true" hidden="false"/>
    </xf>
    <xf numFmtId="165" fontId="16" fillId="10" borderId="1" xfId="0" applyFont="true" applyBorder="true" applyAlignment="true" applyProtection="false">
      <alignment horizontal="center" vertical="center" textRotation="0" wrapText="false" indent="0" shrinkToFit="false"/>
      <protection locked="true" hidden="false"/>
    </xf>
    <xf numFmtId="164" fontId="17" fillId="7" borderId="1" xfId="0" applyFont="true" applyBorder="true" applyAlignment="true" applyProtection="false">
      <alignment horizontal="left" vertical="top" textRotation="0" wrapText="true" indent="0" shrinkToFit="false"/>
      <protection locked="true" hidden="false"/>
    </xf>
    <xf numFmtId="164" fontId="9" fillId="17" borderId="1" xfId="0" applyFont="true" applyBorder="true" applyAlignment="true" applyProtection="false">
      <alignment horizontal="left" vertical="top" textRotation="0" wrapText="true" indent="0" shrinkToFit="false"/>
      <protection locked="true" hidden="false"/>
    </xf>
    <xf numFmtId="164" fontId="9" fillId="18"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9" fillId="15"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8" fillId="6"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left" vertical="top" textRotation="0" wrapText="true" indent="0" shrinkToFit="false"/>
      <protection locked="true" hidden="false"/>
    </xf>
    <xf numFmtId="164" fontId="9" fillId="19" borderId="1" xfId="0" applyFont="true" applyBorder="true" applyAlignment="true" applyProtection="false">
      <alignment horizontal="left" vertical="top" textRotation="0" wrapText="tru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19" fillId="20" borderId="2" xfId="0" applyFont="true" applyBorder="true" applyAlignment="true" applyProtection="false">
      <alignment horizontal="left" vertical="center" textRotation="0" wrapText="false" indent="0" shrinkToFit="false"/>
      <protection locked="true" hidden="false"/>
    </xf>
    <xf numFmtId="164" fontId="20" fillId="21" borderId="1" xfId="0" applyFont="true" applyBorder="true" applyAlignment="true" applyProtection="false">
      <alignment horizontal="left" vertical="top" textRotation="0" wrapText="false" indent="0" shrinkToFit="false"/>
      <protection locked="true" hidden="false"/>
    </xf>
    <xf numFmtId="164" fontId="21" fillId="21" borderId="1" xfId="0" applyFont="true" applyBorder="true" applyAlignment="true" applyProtection="false">
      <alignment horizontal="left" vertical="top" textRotation="0" wrapText="true" indent="0" shrinkToFit="false"/>
      <protection locked="true" hidden="false"/>
    </xf>
    <xf numFmtId="164" fontId="20" fillId="7" borderId="1" xfId="0" applyFont="true" applyBorder="true" applyAlignment="true" applyProtection="false">
      <alignment horizontal="left" vertical="top" textRotation="0" wrapText="false" indent="0" shrinkToFit="false"/>
      <protection locked="true" hidden="false"/>
    </xf>
    <xf numFmtId="164" fontId="21" fillId="7" borderId="1" xfId="0" applyFont="true" applyBorder="true" applyAlignment="true" applyProtection="false">
      <alignment horizontal="left" vertical="top" textRotation="0" wrapText="true" indent="0" shrinkToFit="false"/>
      <protection locked="true" hidden="false"/>
    </xf>
    <xf numFmtId="164" fontId="13" fillId="21" borderId="1" xfId="0" applyFont="true" applyBorder="true" applyAlignment="true" applyProtection="false">
      <alignment horizontal="left" vertical="top" textRotation="0" wrapText="true" indent="0" shrinkToFit="false"/>
      <protection locked="true" hidden="false"/>
    </xf>
    <xf numFmtId="164" fontId="20" fillId="22" borderId="1" xfId="0" applyFont="true" applyBorder="true" applyAlignment="true" applyProtection="false">
      <alignment horizontal="left" vertical="top" textRotation="0" wrapText="false" indent="0" shrinkToFit="false"/>
      <protection locked="true" hidden="false"/>
    </xf>
    <xf numFmtId="164" fontId="21" fillId="22" borderId="1" xfId="0" applyFont="true" applyBorder="true" applyAlignment="true" applyProtection="false">
      <alignment horizontal="left" vertical="top" textRotation="0" wrapText="true" indent="0" shrinkToFit="false"/>
      <protection locked="true" hidden="false"/>
    </xf>
    <xf numFmtId="164" fontId="20" fillId="23" borderId="1" xfId="0" applyFont="true" applyBorder="true" applyAlignment="true" applyProtection="false">
      <alignment horizontal="left" vertical="top" textRotation="0" wrapText="false" indent="0" shrinkToFit="false"/>
      <protection locked="true" hidden="false"/>
    </xf>
    <xf numFmtId="164" fontId="21" fillId="23"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AFAFA"/>
      <rgbColor rgb="FFFF00FF"/>
      <rgbColor rgb="FF00FFFF"/>
      <rgbColor rgb="FF1E293B"/>
      <rgbColor rgb="FF008000"/>
      <rgbColor rgb="FF0E1117"/>
      <rgbColor rgb="FF808000"/>
      <rgbColor rgb="FF800080"/>
      <rgbColor rgb="FF0F766E"/>
      <rgbColor rgb="FFDBEAFE"/>
      <rgbColor rgb="FF475569"/>
      <rgbColor rgb="FFEFF6FF"/>
      <rgbColor rgb="FF993366"/>
      <rgbColor rgb="FFFEF9C3"/>
      <rgbColor rgb="FFCCFBF1"/>
      <rgbColor rgb="FF3D1A0F"/>
      <rgbColor rgb="FFF0F9FF"/>
      <rgbColor rgb="FF1D4ED8"/>
      <rgbColor rgb="FFCBD5E1"/>
      <rgbColor rgb="FF1D2535"/>
      <rgbColor rgb="FFFF00FF"/>
      <rgbColor rgb="FFF1F5F9"/>
      <rgbColor rgb="FF00FFFF"/>
      <rgbColor rgb="FF800080"/>
      <rgbColor rgb="FF800000"/>
      <rgbColor rgb="FF008080"/>
      <rgbColor rgb="FF0000FF"/>
      <rgbColor rgb="FF00CCFF"/>
      <rgbColor rgb="FFDCFCE7"/>
      <rgbColor rgb="FFD1FAE5"/>
      <rgbColor rgb="FFFEF3C7"/>
      <rgbColor rgb="FF93C5FD"/>
      <rgbColor rgb="FFFEF2F2"/>
      <rgbColor rgb="FFE8EDF5"/>
      <rgbColor rgb="FFE2E8F0"/>
      <rgbColor rgb="FF3366FF"/>
      <rgbColor rgb="FF5EEAD4"/>
      <rgbColor rgb="FF99CC00"/>
      <rgbColor rgb="FFF8FAFC"/>
      <rgbColor rgb="FFFF9900"/>
      <rgbColor rgb="FFFF6600"/>
      <rgbColor rgb="FF64748B"/>
      <rgbColor rgb="FF94A3B8"/>
      <rgbColor rgb="FF1E3A5F"/>
      <rgbColor rgb="FF339966"/>
      <rgbColor rgb="FF0F3D38"/>
      <rgbColor rgb="FF3D2E0A"/>
      <rgbColor rgb="FF993300"/>
      <rgbColor rgb="FF993366"/>
      <rgbColor rgb="FF3B1A5F"/>
      <rgbColor rgb="FF252E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42"/>
    <col collapsed="false" customWidth="true" hidden="false" outlineLevel="0" max="4" min="4" style="0" width="30"/>
    <col collapsed="false" customWidth="true" hidden="false" outlineLevel="0" max="13" min="5" style="0" width="10"/>
    <col collapsed="false" customWidth="true" hidden="false" outlineLevel="0" max="14" min="14" style="0" width="12"/>
    <col collapsed="false" customWidth="true" hidden="false" outlineLevel="0" max="15" min="15" style="0" width="52"/>
  </cols>
  <sheetData>
    <row r="1" customFormat="false" ht="21.75" hidden="false" customHeight="true" outlineLevel="0" collapsed="false">
      <c r="A1" s="1" t="s">
        <v>0</v>
      </c>
      <c r="B1" s="1"/>
      <c r="C1" s="1"/>
      <c r="D1" s="1"/>
      <c r="E1" s="1"/>
      <c r="F1" s="1"/>
      <c r="G1" s="1"/>
      <c r="H1" s="1"/>
      <c r="I1" s="1"/>
      <c r="J1" s="1"/>
      <c r="K1" s="1"/>
      <c r="L1" s="1"/>
      <c r="M1" s="1"/>
      <c r="N1" s="1"/>
      <c r="O1" s="1"/>
    </row>
    <row r="2" customFormat="false" ht="27.75" hidden="false" customHeight="true" outlineLevel="0" collapsed="false">
      <c r="A2" s="2" t="s">
        <v>1</v>
      </c>
      <c r="B2" s="2" t="s">
        <v>2</v>
      </c>
      <c r="C2" s="2" t="s">
        <v>3</v>
      </c>
      <c r="D2" s="2" t="s">
        <v>4</v>
      </c>
      <c r="E2" s="3" t="s">
        <v>5</v>
      </c>
      <c r="F2" s="3" t="s">
        <v>6</v>
      </c>
      <c r="G2" s="3" t="s">
        <v>7</v>
      </c>
      <c r="H2" s="3" t="s">
        <v>8</v>
      </c>
      <c r="I2" s="3" t="s">
        <v>9</v>
      </c>
      <c r="J2" s="3" t="s">
        <v>10</v>
      </c>
      <c r="K2" s="3" t="s">
        <v>11</v>
      </c>
      <c r="L2" s="3" t="s">
        <v>12</v>
      </c>
      <c r="M2" s="3" t="s">
        <v>13</v>
      </c>
      <c r="N2" s="2" t="s">
        <v>14</v>
      </c>
      <c r="O2" s="2" t="s">
        <v>15</v>
      </c>
    </row>
    <row r="3" customFormat="false" ht="18" hidden="false" customHeight="true" outlineLevel="0" collapsed="false">
      <c r="A3" s="4" t="s">
        <v>16</v>
      </c>
      <c r="B3" s="4"/>
      <c r="C3" s="4"/>
      <c r="D3" s="4"/>
      <c r="E3" s="4"/>
      <c r="F3" s="4"/>
      <c r="G3" s="4"/>
      <c r="H3" s="4"/>
      <c r="I3" s="4"/>
      <c r="J3" s="4"/>
      <c r="K3" s="4"/>
      <c r="L3" s="4"/>
      <c r="M3" s="4"/>
      <c r="N3" s="4"/>
      <c r="O3" s="4"/>
    </row>
    <row r="4" customFormat="false" ht="39.75" hidden="false" customHeight="true" outlineLevel="0" collapsed="false">
      <c r="A4" s="5" t="s">
        <v>17</v>
      </c>
      <c r="B4" s="6" t="s">
        <v>18</v>
      </c>
      <c r="C4" s="7" t="s">
        <v>19</v>
      </c>
      <c r="D4" s="8" t="s">
        <v>20</v>
      </c>
      <c r="E4" s="9" t="s">
        <v>21</v>
      </c>
      <c r="F4" s="10" t="n">
        <v>1247.5</v>
      </c>
      <c r="G4" s="9" t="s">
        <v>21</v>
      </c>
      <c r="H4" s="9" t="s">
        <v>21</v>
      </c>
      <c r="I4" s="9" t="s">
        <v>21</v>
      </c>
      <c r="J4" s="9" t="s">
        <v>21</v>
      </c>
      <c r="K4" s="9" t="s">
        <v>21</v>
      </c>
      <c r="L4" s="9" t="s">
        <v>21</v>
      </c>
      <c r="M4" s="9" t="s">
        <v>21</v>
      </c>
      <c r="N4" s="11" t="n">
        <f aca="false">SUMIF(E4:M4,"&gt;0")</f>
        <v>1247.5</v>
      </c>
      <c r="O4" s="12" t="s">
        <v>22</v>
      </c>
    </row>
    <row r="5" customFormat="false" ht="39.75" hidden="false" customHeight="true" outlineLevel="0" collapsed="false">
      <c r="A5" s="5" t="s">
        <v>23</v>
      </c>
      <c r="B5" s="6" t="s">
        <v>18</v>
      </c>
      <c r="C5" s="7" t="s">
        <v>24</v>
      </c>
      <c r="D5" s="8" t="s">
        <v>25</v>
      </c>
      <c r="E5" s="13" t="s">
        <v>21</v>
      </c>
      <c r="F5" s="14" t="n">
        <v>6725</v>
      </c>
      <c r="G5" s="13" t="s">
        <v>21</v>
      </c>
      <c r="H5" s="13" t="s">
        <v>21</v>
      </c>
      <c r="I5" s="13" t="s">
        <v>21</v>
      </c>
      <c r="J5" s="13" t="s">
        <v>21</v>
      </c>
      <c r="K5" s="13" t="s">
        <v>21</v>
      </c>
      <c r="L5" s="14" t="n">
        <v>1275</v>
      </c>
      <c r="M5" s="13" t="s">
        <v>21</v>
      </c>
      <c r="N5" s="11" t="n">
        <f aca="false">SUMIF(E5:M5,"&gt;0")</f>
        <v>8000</v>
      </c>
      <c r="O5" s="12" t="s">
        <v>26</v>
      </c>
    </row>
    <row r="6" customFormat="false" ht="39.75" hidden="false" customHeight="true" outlineLevel="0" collapsed="false">
      <c r="A6" s="5" t="s">
        <v>27</v>
      </c>
      <c r="B6" s="6" t="s">
        <v>18</v>
      </c>
      <c r="C6" s="7" t="s">
        <v>28</v>
      </c>
      <c r="D6" s="8" t="s">
        <v>29</v>
      </c>
      <c r="E6" s="9" t="s">
        <v>21</v>
      </c>
      <c r="F6" s="10" t="n">
        <v>200</v>
      </c>
      <c r="G6" s="9" t="s">
        <v>21</v>
      </c>
      <c r="H6" s="9" t="s">
        <v>21</v>
      </c>
      <c r="I6" s="9" t="s">
        <v>21</v>
      </c>
      <c r="J6" s="9" t="s">
        <v>21</v>
      </c>
      <c r="K6" s="9" t="s">
        <v>21</v>
      </c>
      <c r="L6" s="9" t="s">
        <v>21</v>
      </c>
      <c r="M6" s="9" t="s">
        <v>21</v>
      </c>
      <c r="N6" s="11" t="n">
        <f aca="false">SUMIF(E6:M6,"&gt;0")</f>
        <v>200</v>
      </c>
      <c r="O6" s="12" t="s">
        <v>30</v>
      </c>
    </row>
    <row r="7" customFormat="false" ht="39.75" hidden="false" customHeight="true" outlineLevel="0" collapsed="false">
      <c r="A7" s="5" t="s">
        <v>31</v>
      </c>
      <c r="B7" s="6" t="s">
        <v>18</v>
      </c>
      <c r="C7" s="7" t="s">
        <v>32</v>
      </c>
      <c r="D7" s="8" t="s">
        <v>33</v>
      </c>
      <c r="E7" s="9" t="s">
        <v>21</v>
      </c>
      <c r="F7" s="10" t="n">
        <v>1500</v>
      </c>
      <c r="G7" s="9" t="s">
        <v>21</v>
      </c>
      <c r="H7" s="9" t="s">
        <v>21</v>
      </c>
      <c r="I7" s="9" t="s">
        <v>21</v>
      </c>
      <c r="J7" s="9" t="s">
        <v>21</v>
      </c>
      <c r="K7" s="9" t="s">
        <v>21</v>
      </c>
      <c r="L7" s="9" t="s">
        <v>21</v>
      </c>
      <c r="M7" s="9" t="s">
        <v>21</v>
      </c>
      <c r="N7" s="11" t="n">
        <f aca="false">SUMIF(E7:M7,"&gt;0")</f>
        <v>1500</v>
      </c>
      <c r="O7" s="12" t="s">
        <v>34</v>
      </c>
    </row>
    <row r="8" customFormat="false" ht="39.75" hidden="false" customHeight="true" outlineLevel="0" collapsed="false">
      <c r="A8" s="5" t="s">
        <v>35</v>
      </c>
      <c r="B8" s="6" t="s">
        <v>18</v>
      </c>
      <c r="C8" s="7" t="s">
        <v>36</v>
      </c>
      <c r="D8" s="8" t="s">
        <v>37</v>
      </c>
      <c r="E8" s="13" t="s">
        <v>21</v>
      </c>
      <c r="F8" s="14" t="n">
        <v>6725</v>
      </c>
      <c r="G8" s="14" t="n">
        <v>1275</v>
      </c>
      <c r="H8" s="13" t="s">
        <v>21</v>
      </c>
      <c r="I8" s="13" t="s">
        <v>21</v>
      </c>
      <c r="J8" s="13" t="s">
        <v>21</v>
      </c>
      <c r="K8" s="13" t="s">
        <v>21</v>
      </c>
      <c r="L8" s="13" t="s">
        <v>21</v>
      </c>
      <c r="M8" s="13" t="s">
        <v>21</v>
      </c>
      <c r="N8" s="11" t="n">
        <f aca="false">SUMIF(E8:M8,"&gt;0")</f>
        <v>8000</v>
      </c>
      <c r="O8" s="12" t="s">
        <v>38</v>
      </c>
    </row>
    <row r="9" customFormat="false" ht="39.75" hidden="false" customHeight="true" outlineLevel="0" collapsed="false">
      <c r="A9" s="5" t="s">
        <v>39</v>
      </c>
      <c r="B9" s="6" t="s">
        <v>18</v>
      </c>
      <c r="C9" s="7" t="s">
        <v>40</v>
      </c>
      <c r="D9" s="8" t="s">
        <v>41</v>
      </c>
      <c r="E9" s="9" t="s">
        <v>21</v>
      </c>
      <c r="F9" s="10" t="n">
        <v>275</v>
      </c>
      <c r="G9" s="10" t="n">
        <v>725</v>
      </c>
      <c r="H9" s="9" t="s">
        <v>21</v>
      </c>
      <c r="I9" s="9" t="s">
        <v>21</v>
      </c>
      <c r="J9" s="9" t="s">
        <v>21</v>
      </c>
      <c r="K9" s="9" t="s">
        <v>21</v>
      </c>
      <c r="L9" s="9" t="s">
        <v>21</v>
      </c>
      <c r="M9" s="9" t="s">
        <v>21</v>
      </c>
      <c r="N9" s="11" t="n">
        <f aca="false">SUMIF(E9:M9,"&gt;0")</f>
        <v>1000</v>
      </c>
      <c r="O9" s="12" t="s">
        <v>42</v>
      </c>
    </row>
    <row r="10" customFormat="false" ht="39.75" hidden="false" customHeight="true" outlineLevel="0" collapsed="false">
      <c r="A10" s="5" t="s">
        <v>43</v>
      </c>
      <c r="B10" s="6" t="s">
        <v>18</v>
      </c>
      <c r="C10" s="7" t="s">
        <v>44</v>
      </c>
      <c r="D10" s="8" t="s">
        <v>45</v>
      </c>
      <c r="E10" s="13" t="s">
        <v>21</v>
      </c>
      <c r="F10" s="14" t="n">
        <v>275</v>
      </c>
      <c r="G10" s="14" t="n">
        <v>6450</v>
      </c>
      <c r="H10" s="13" t="s">
        <v>21</v>
      </c>
      <c r="I10" s="13" t="s">
        <v>21</v>
      </c>
      <c r="J10" s="13" t="s">
        <v>21</v>
      </c>
      <c r="K10" s="13" t="s">
        <v>21</v>
      </c>
      <c r="L10" s="14" t="n">
        <v>1275</v>
      </c>
      <c r="M10" s="13" t="s">
        <v>21</v>
      </c>
      <c r="N10" s="11" t="n">
        <f aca="false">SUMIF(E10:M10,"&gt;0")</f>
        <v>8000</v>
      </c>
      <c r="O10" s="12" t="s">
        <v>46</v>
      </c>
    </row>
    <row r="11" customFormat="false" ht="39.75" hidden="false" customHeight="true" outlineLevel="0" collapsed="false">
      <c r="A11" s="5" t="s">
        <v>47</v>
      </c>
      <c r="B11" s="6" t="s">
        <v>18</v>
      </c>
      <c r="C11" s="7" t="s">
        <v>48</v>
      </c>
      <c r="D11" s="8" t="s">
        <v>49</v>
      </c>
      <c r="E11" s="9" t="s">
        <v>21</v>
      </c>
      <c r="F11" s="10" t="n">
        <v>275</v>
      </c>
      <c r="G11" s="9" t="s">
        <v>21</v>
      </c>
      <c r="H11" s="9" t="s">
        <v>21</v>
      </c>
      <c r="I11" s="10" t="n">
        <v>1225</v>
      </c>
      <c r="J11" s="9" t="s">
        <v>21</v>
      </c>
      <c r="K11" s="9" t="s">
        <v>21</v>
      </c>
      <c r="L11" s="9" t="s">
        <v>21</v>
      </c>
      <c r="M11" s="9" t="s">
        <v>21</v>
      </c>
      <c r="N11" s="11" t="n">
        <f aca="false">SUMIF(E11:M11,"&gt;0")</f>
        <v>1500</v>
      </c>
      <c r="O11" s="12" t="s">
        <v>50</v>
      </c>
    </row>
    <row r="12" customFormat="false" ht="39.75" hidden="false" customHeight="true" outlineLevel="0" collapsed="false">
      <c r="A12" s="5" t="s">
        <v>51</v>
      </c>
      <c r="B12" s="6" t="s">
        <v>18</v>
      </c>
      <c r="C12" s="7" t="s">
        <v>52</v>
      </c>
      <c r="D12" s="8" t="s">
        <v>53</v>
      </c>
      <c r="E12" s="13" t="s">
        <v>21</v>
      </c>
      <c r="F12" s="14" t="n">
        <v>275</v>
      </c>
      <c r="G12" s="13" t="s">
        <v>21</v>
      </c>
      <c r="H12" s="13" t="s">
        <v>21</v>
      </c>
      <c r="I12" s="14" t="n">
        <v>6450</v>
      </c>
      <c r="J12" s="13" t="s">
        <v>21</v>
      </c>
      <c r="K12" s="13" t="s">
        <v>21</v>
      </c>
      <c r="L12" s="14" t="n">
        <v>1275</v>
      </c>
      <c r="M12" s="13" t="s">
        <v>21</v>
      </c>
      <c r="N12" s="11" t="n">
        <f aca="false">SUMIF(E12:M12,"&gt;0")</f>
        <v>8000</v>
      </c>
      <c r="O12" s="12" t="s">
        <v>54</v>
      </c>
    </row>
    <row r="13" customFormat="false" ht="18" hidden="false" customHeight="true" outlineLevel="0" collapsed="false">
      <c r="A13" s="15" t="s">
        <v>55</v>
      </c>
      <c r="B13" s="15"/>
      <c r="C13" s="15"/>
      <c r="D13" s="15"/>
      <c r="E13" s="15"/>
      <c r="F13" s="15"/>
      <c r="G13" s="15"/>
      <c r="H13" s="15"/>
      <c r="I13" s="15"/>
      <c r="J13" s="15"/>
      <c r="K13" s="15"/>
      <c r="L13" s="15"/>
      <c r="M13" s="15"/>
      <c r="N13" s="15"/>
      <c r="O13" s="15"/>
    </row>
    <row r="14" customFormat="false" ht="39.75" hidden="false" customHeight="true" outlineLevel="0" collapsed="false">
      <c r="A14" s="5" t="s">
        <v>56</v>
      </c>
      <c r="B14" s="6" t="s">
        <v>57</v>
      </c>
      <c r="C14" s="7" t="s">
        <v>58</v>
      </c>
      <c r="D14" s="8" t="s">
        <v>59</v>
      </c>
      <c r="E14" s="9" t="s">
        <v>21</v>
      </c>
      <c r="F14" s="10" t="n">
        <v>2275</v>
      </c>
      <c r="G14" s="9" t="s">
        <v>21</v>
      </c>
      <c r="H14" s="9" t="s">
        <v>21</v>
      </c>
      <c r="I14" s="10" t="n">
        <v>1225</v>
      </c>
      <c r="J14" s="9" t="s">
        <v>21</v>
      </c>
      <c r="K14" s="9" t="s">
        <v>21</v>
      </c>
      <c r="L14" s="9" t="s">
        <v>21</v>
      </c>
      <c r="M14" s="9" t="s">
        <v>21</v>
      </c>
      <c r="N14" s="11" t="n">
        <f aca="false">SUMIF(E14:M14,"&gt;0")</f>
        <v>3500</v>
      </c>
      <c r="O14" s="12" t="s">
        <v>60</v>
      </c>
    </row>
    <row r="15" customFormat="false" ht="39.75" hidden="false" customHeight="true" outlineLevel="0" collapsed="false">
      <c r="A15" s="5" t="s">
        <v>61</v>
      </c>
      <c r="B15" s="6" t="s">
        <v>57</v>
      </c>
      <c r="C15" s="7" t="s">
        <v>62</v>
      </c>
      <c r="D15" s="8" t="s">
        <v>63</v>
      </c>
      <c r="E15" s="13" t="s">
        <v>21</v>
      </c>
      <c r="F15" s="14" t="n">
        <v>4775</v>
      </c>
      <c r="G15" s="13" t="s">
        <v>21</v>
      </c>
      <c r="H15" s="13" t="s">
        <v>21</v>
      </c>
      <c r="I15" s="14" t="n">
        <v>1950</v>
      </c>
      <c r="J15" s="13" t="s">
        <v>21</v>
      </c>
      <c r="K15" s="13" t="s">
        <v>21</v>
      </c>
      <c r="L15" s="14" t="n">
        <v>1275</v>
      </c>
      <c r="M15" s="13" t="s">
        <v>21</v>
      </c>
      <c r="N15" s="11" t="n">
        <f aca="false">SUMIF(E15:M15,"&gt;0")</f>
        <v>8000</v>
      </c>
      <c r="O15" s="12" t="s">
        <v>64</v>
      </c>
    </row>
    <row r="16" customFormat="false" ht="39.75" hidden="false" customHeight="true" outlineLevel="0" collapsed="false">
      <c r="A16" s="5" t="s">
        <v>65</v>
      </c>
      <c r="B16" s="6" t="s">
        <v>57</v>
      </c>
      <c r="C16" s="7" t="s">
        <v>66</v>
      </c>
      <c r="D16" s="8" t="s">
        <v>67</v>
      </c>
      <c r="E16" s="9" t="s">
        <v>21</v>
      </c>
      <c r="F16" s="10" t="n">
        <v>5000</v>
      </c>
      <c r="G16" s="9" t="s">
        <v>21</v>
      </c>
      <c r="H16" s="9" t="s">
        <v>21</v>
      </c>
      <c r="I16" s="9" t="s">
        <v>21</v>
      </c>
      <c r="J16" s="9" t="s">
        <v>21</v>
      </c>
      <c r="K16" s="9" t="s">
        <v>21</v>
      </c>
      <c r="L16" s="9" t="s">
        <v>21</v>
      </c>
      <c r="M16" s="9" t="s">
        <v>21</v>
      </c>
      <c r="N16" s="11" t="n">
        <f aca="false">SUMIF(E16:M16,"&gt;0")</f>
        <v>5000</v>
      </c>
      <c r="O16" s="12" t="s">
        <v>68</v>
      </c>
    </row>
    <row r="17" customFormat="false" ht="39.75" hidden="false" customHeight="true" outlineLevel="0" collapsed="false">
      <c r="A17" s="5" t="s">
        <v>69</v>
      </c>
      <c r="B17" s="6" t="s">
        <v>57</v>
      </c>
      <c r="C17" s="7" t="s">
        <v>70</v>
      </c>
      <c r="D17" s="8" t="s">
        <v>71</v>
      </c>
      <c r="E17" s="13" t="s">
        <v>21</v>
      </c>
      <c r="F17" s="14" t="n">
        <v>6725</v>
      </c>
      <c r="G17" s="14" t="n">
        <v>1275</v>
      </c>
      <c r="H17" s="13" t="s">
        <v>21</v>
      </c>
      <c r="I17" s="13" t="s">
        <v>21</v>
      </c>
      <c r="J17" s="13" t="s">
        <v>21</v>
      </c>
      <c r="K17" s="13" t="s">
        <v>21</v>
      </c>
      <c r="L17" s="13" t="s">
        <v>21</v>
      </c>
      <c r="M17" s="13" t="s">
        <v>21</v>
      </c>
      <c r="N17" s="11" t="n">
        <f aca="false">SUMIF(E17:M17,"&gt;0")</f>
        <v>8000</v>
      </c>
      <c r="O17" s="12" t="s">
        <v>72</v>
      </c>
    </row>
    <row r="18" customFormat="false" ht="39.75" hidden="false" customHeight="true" outlineLevel="0" collapsed="false">
      <c r="A18" s="5" t="s">
        <v>73</v>
      </c>
      <c r="B18" s="6" t="s">
        <v>57</v>
      </c>
      <c r="C18" s="7" t="s">
        <v>74</v>
      </c>
      <c r="D18" s="8" t="s">
        <v>75</v>
      </c>
      <c r="E18" s="9" t="s">
        <v>21</v>
      </c>
      <c r="F18" s="10" t="n">
        <v>3275</v>
      </c>
      <c r="G18" s="10" t="n">
        <v>1725</v>
      </c>
      <c r="H18" s="9" t="s">
        <v>21</v>
      </c>
      <c r="I18" s="9" t="s">
        <v>21</v>
      </c>
      <c r="J18" s="9" t="s">
        <v>21</v>
      </c>
      <c r="K18" s="9" t="s">
        <v>21</v>
      </c>
      <c r="L18" s="9" t="s">
        <v>21</v>
      </c>
      <c r="M18" s="9" t="s">
        <v>21</v>
      </c>
      <c r="N18" s="11" t="n">
        <f aca="false">SUMIF(E18:M18,"&gt;0")</f>
        <v>5000</v>
      </c>
      <c r="O18" s="12" t="s">
        <v>76</v>
      </c>
    </row>
    <row r="19" customFormat="false" ht="39.75" hidden="false" customHeight="true" outlineLevel="0" collapsed="false">
      <c r="A19" s="5" t="s">
        <v>77</v>
      </c>
      <c r="B19" s="6" t="s">
        <v>57</v>
      </c>
      <c r="C19" s="7" t="s">
        <v>78</v>
      </c>
      <c r="D19" s="8" t="s">
        <v>79</v>
      </c>
      <c r="E19" s="13" t="s">
        <v>21</v>
      </c>
      <c r="F19" s="14" t="n">
        <v>6725</v>
      </c>
      <c r="G19" s="13" t="s">
        <v>21</v>
      </c>
      <c r="H19" s="13" t="s">
        <v>21</v>
      </c>
      <c r="I19" s="13" t="s">
        <v>21</v>
      </c>
      <c r="J19" s="13" t="s">
        <v>21</v>
      </c>
      <c r="K19" s="13" t="s">
        <v>21</v>
      </c>
      <c r="L19" s="14" t="n">
        <v>1500</v>
      </c>
      <c r="M19" s="13" t="s">
        <v>21</v>
      </c>
      <c r="N19" s="11" t="n">
        <f aca="false">SUMIF(E19:M19,"&gt;0")</f>
        <v>8225</v>
      </c>
      <c r="O19" s="12" t="s">
        <v>80</v>
      </c>
    </row>
    <row r="20" customFormat="false" ht="39.75" hidden="false" customHeight="true" outlineLevel="0" collapsed="false">
      <c r="A20" s="5" t="s">
        <v>81</v>
      </c>
      <c r="B20" s="6" t="s">
        <v>57</v>
      </c>
      <c r="C20" s="7" t="s">
        <v>82</v>
      </c>
      <c r="D20" s="8" t="s">
        <v>83</v>
      </c>
      <c r="E20" s="9" t="s">
        <v>21</v>
      </c>
      <c r="F20" s="10" t="n">
        <v>275</v>
      </c>
      <c r="G20" s="9" t="s">
        <v>21</v>
      </c>
      <c r="H20" s="9" t="s">
        <v>21</v>
      </c>
      <c r="I20" s="10" t="n">
        <v>375</v>
      </c>
      <c r="J20" s="9" t="s">
        <v>21</v>
      </c>
      <c r="K20" s="9" t="s">
        <v>21</v>
      </c>
      <c r="L20" s="9" t="s">
        <v>21</v>
      </c>
      <c r="M20" s="9" t="s">
        <v>21</v>
      </c>
      <c r="N20" s="11" t="n">
        <f aca="false">SUMIF(E20:M20,"&gt;0")</f>
        <v>650</v>
      </c>
      <c r="O20" s="12" t="s">
        <v>84</v>
      </c>
    </row>
    <row r="21" customFormat="false" ht="39.75" hidden="false" customHeight="true" outlineLevel="0" collapsed="false">
      <c r="A21" s="5" t="s">
        <v>85</v>
      </c>
      <c r="B21" s="6" t="s">
        <v>57</v>
      </c>
      <c r="C21" s="7" t="s">
        <v>86</v>
      </c>
      <c r="D21" s="8" t="s">
        <v>87</v>
      </c>
      <c r="E21" s="9" t="s">
        <v>21</v>
      </c>
      <c r="F21" s="10" t="n">
        <v>400</v>
      </c>
      <c r="G21" s="9" t="s">
        <v>21</v>
      </c>
      <c r="H21" s="9" t="s">
        <v>21</v>
      </c>
      <c r="I21" s="10" t="n">
        <v>1000</v>
      </c>
      <c r="J21" s="9" t="s">
        <v>21</v>
      </c>
      <c r="K21" s="9" t="s">
        <v>21</v>
      </c>
      <c r="L21" s="9" t="s">
        <v>21</v>
      </c>
      <c r="M21" s="9" t="s">
        <v>21</v>
      </c>
      <c r="N21" s="11" t="n">
        <f aca="false">SUMIF(E21:M21,"&gt;0")</f>
        <v>1400</v>
      </c>
      <c r="O21" s="12" t="s">
        <v>88</v>
      </c>
    </row>
    <row r="22" customFormat="false" ht="39.75" hidden="false" customHeight="true" outlineLevel="0" collapsed="false">
      <c r="A22" s="5" t="s">
        <v>89</v>
      </c>
      <c r="B22" s="6" t="s">
        <v>57</v>
      </c>
      <c r="C22" s="7" t="s">
        <v>90</v>
      </c>
      <c r="D22" s="8" t="s">
        <v>91</v>
      </c>
      <c r="E22" s="9" t="s">
        <v>21</v>
      </c>
      <c r="F22" s="10" t="n">
        <v>275</v>
      </c>
      <c r="G22" s="9" t="s">
        <v>21</v>
      </c>
      <c r="H22" s="9" t="s">
        <v>21</v>
      </c>
      <c r="I22" s="10" t="n">
        <v>375</v>
      </c>
      <c r="J22" s="9" t="s">
        <v>21</v>
      </c>
      <c r="K22" s="9" t="s">
        <v>21</v>
      </c>
      <c r="L22" s="9" t="s">
        <v>21</v>
      </c>
      <c r="M22" s="9" t="s">
        <v>21</v>
      </c>
      <c r="N22" s="11" t="n">
        <f aca="false">SUMIF(E22:M22,"&gt;0")</f>
        <v>650</v>
      </c>
      <c r="O22" s="12" t="s">
        <v>92</v>
      </c>
    </row>
    <row r="23" customFormat="false" ht="39.75" hidden="false" customHeight="true" outlineLevel="0" collapsed="false">
      <c r="A23" s="5" t="s">
        <v>93</v>
      </c>
      <c r="B23" s="6" t="s">
        <v>57</v>
      </c>
      <c r="C23" s="7" t="s">
        <v>94</v>
      </c>
      <c r="D23" s="8" t="s">
        <v>95</v>
      </c>
      <c r="E23" s="9" t="s">
        <v>21</v>
      </c>
      <c r="F23" s="10" t="n">
        <v>500</v>
      </c>
      <c r="G23" s="10" t="n">
        <v>800</v>
      </c>
      <c r="H23" s="9" t="s">
        <v>21</v>
      </c>
      <c r="I23" s="9" t="s">
        <v>21</v>
      </c>
      <c r="J23" s="9" t="s">
        <v>21</v>
      </c>
      <c r="K23" s="9" t="s">
        <v>21</v>
      </c>
      <c r="L23" s="9" t="s">
        <v>21</v>
      </c>
      <c r="M23" s="9" t="s">
        <v>21</v>
      </c>
      <c r="N23" s="11" t="n">
        <f aca="false">SUMIF(E23:M23,"&gt;0")</f>
        <v>1300</v>
      </c>
      <c r="O23" s="12" t="s">
        <v>96</v>
      </c>
    </row>
    <row r="24" customFormat="false" ht="18" hidden="false" customHeight="true" outlineLevel="0" collapsed="false">
      <c r="A24" s="16" t="s">
        <v>97</v>
      </c>
      <c r="B24" s="16"/>
      <c r="C24" s="16"/>
      <c r="D24" s="16"/>
      <c r="E24" s="16"/>
      <c r="F24" s="16"/>
      <c r="G24" s="16"/>
      <c r="H24" s="16"/>
      <c r="I24" s="16"/>
      <c r="J24" s="16"/>
      <c r="K24" s="16"/>
      <c r="L24" s="16"/>
      <c r="M24" s="16"/>
      <c r="N24" s="16"/>
      <c r="O24" s="16"/>
    </row>
    <row r="25" customFormat="false" ht="48" hidden="false" customHeight="true" outlineLevel="0" collapsed="false">
      <c r="A25" s="5" t="s">
        <v>98</v>
      </c>
      <c r="B25" s="6" t="s">
        <v>99</v>
      </c>
      <c r="C25" s="7" t="s">
        <v>100</v>
      </c>
      <c r="D25" s="8" t="s">
        <v>101</v>
      </c>
      <c r="E25" s="9" t="s">
        <v>21</v>
      </c>
      <c r="F25" s="10" t="n">
        <v>2500</v>
      </c>
      <c r="G25" s="10" t="n">
        <v>1000</v>
      </c>
      <c r="H25" s="9" t="s">
        <v>21</v>
      </c>
      <c r="I25" s="9" t="s">
        <v>21</v>
      </c>
      <c r="J25" s="9" t="s">
        <v>21</v>
      </c>
      <c r="K25" s="9" t="s">
        <v>21</v>
      </c>
      <c r="L25" s="9" t="s">
        <v>21</v>
      </c>
      <c r="M25" s="9" t="s">
        <v>21</v>
      </c>
      <c r="N25" s="11" t="n">
        <f aca="false">SUMIF(E25:M25,"&gt;0")</f>
        <v>3500</v>
      </c>
      <c r="O25" s="12" t="s">
        <v>102</v>
      </c>
    </row>
    <row r="26" customFormat="false" ht="48" hidden="false" customHeight="true" outlineLevel="0" collapsed="false">
      <c r="A26" s="5" t="s">
        <v>103</v>
      </c>
      <c r="B26" s="6" t="s">
        <v>99</v>
      </c>
      <c r="C26" s="7" t="s">
        <v>104</v>
      </c>
      <c r="D26" s="8" t="s">
        <v>105</v>
      </c>
      <c r="E26" s="13" t="s">
        <v>21</v>
      </c>
      <c r="F26" s="14" t="n">
        <v>5000</v>
      </c>
      <c r="G26" s="14" t="n">
        <v>1725</v>
      </c>
      <c r="H26" s="13" t="s">
        <v>21</v>
      </c>
      <c r="I26" s="13" t="s">
        <v>21</v>
      </c>
      <c r="J26" s="13" t="s">
        <v>21</v>
      </c>
      <c r="K26" s="13" t="s">
        <v>21</v>
      </c>
      <c r="L26" s="14" t="n">
        <v>275</v>
      </c>
      <c r="M26" s="13" t="s">
        <v>21</v>
      </c>
      <c r="N26" s="11" t="n">
        <f aca="false">SUMIF(E26:M26,"&gt;0")</f>
        <v>7000</v>
      </c>
      <c r="O26" s="12" t="s">
        <v>106</v>
      </c>
    </row>
    <row r="27" customFormat="false" ht="48" hidden="false" customHeight="true" outlineLevel="0" collapsed="false">
      <c r="A27" s="5" t="s">
        <v>107</v>
      </c>
      <c r="B27" s="6" t="s">
        <v>99</v>
      </c>
      <c r="C27" s="7" t="s">
        <v>108</v>
      </c>
      <c r="D27" s="8" t="s">
        <v>109</v>
      </c>
      <c r="E27" s="9" t="s">
        <v>21</v>
      </c>
      <c r="F27" s="10" t="n">
        <v>275</v>
      </c>
      <c r="G27" s="9" t="s">
        <v>21</v>
      </c>
      <c r="H27" s="9" t="s">
        <v>21</v>
      </c>
      <c r="I27" s="9" t="s">
        <v>21</v>
      </c>
      <c r="J27" s="9" t="s">
        <v>21</v>
      </c>
      <c r="K27" s="9" t="s">
        <v>21</v>
      </c>
      <c r="L27" s="9" t="s">
        <v>21</v>
      </c>
      <c r="M27" s="9" t="s">
        <v>21</v>
      </c>
      <c r="N27" s="11" t="n">
        <f aca="false">SUMIF(E27:M27,"&gt;0")</f>
        <v>275</v>
      </c>
      <c r="O27" s="12" t="s">
        <v>110</v>
      </c>
    </row>
    <row r="28" customFormat="false" ht="48" hidden="false" customHeight="true" outlineLevel="0" collapsed="false">
      <c r="A28" s="5" t="s">
        <v>111</v>
      </c>
      <c r="B28" s="6" t="s">
        <v>99</v>
      </c>
      <c r="C28" s="7" t="s">
        <v>112</v>
      </c>
      <c r="D28" s="8" t="s">
        <v>113</v>
      </c>
      <c r="E28" s="13" t="s">
        <v>21</v>
      </c>
      <c r="F28" s="14" t="n">
        <v>3000</v>
      </c>
      <c r="G28" s="14" t="n">
        <v>2500</v>
      </c>
      <c r="H28" s="13" t="s">
        <v>21</v>
      </c>
      <c r="I28" s="14" t="n">
        <v>1225</v>
      </c>
      <c r="J28" s="13" t="s">
        <v>21</v>
      </c>
      <c r="K28" s="13" t="s">
        <v>21</v>
      </c>
      <c r="L28" s="14" t="n">
        <v>1275</v>
      </c>
      <c r="M28" s="13" t="s">
        <v>21</v>
      </c>
      <c r="N28" s="11" t="n">
        <f aca="false">SUMIF(E28:M28,"&gt;0")</f>
        <v>8000</v>
      </c>
      <c r="O28" s="12" t="s">
        <v>114</v>
      </c>
    </row>
    <row r="29" customFormat="false" ht="18" hidden="false" customHeight="true" outlineLevel="0" collapsed="false">
      <c r="A29" s="17" t="s">
        <v>115</v>
      </c>
      <c r="B29" s="17"/>
      <c r="C29" s="17"/>
      <c r="D29" s="17"/>
      <c r="E29" s="17"/>
      <c r="F29" s="17"/>
      <c r="G29" s="17"/>
      <c r="H29" s="17"/>
      <c r="I29" s="17"/>
      <c r="J29" s="17"/>
      <c r="K29" s="17"/>
      <c r="L29" s="17"/>
      <c r="M29" s="17"/>
      <c r="N29" s="17"/>
      <c r="O29" s="17"/>
    </row>
    <row r="30" customFormat="false" ht="63.75" hidden="false" customHeight="true" outlineLevel="0" collapsed="false">
      <c r="A30" s="5" t="s">
        <v>116</v>
      </c>
      <c r="B30" s="6" t="s">
        <v>117</v>
      </c>
      <c r="C30" s="7" t="s">
        <v>118</v>
      </c>
      <c r="D30" s="8" t="s">
        <v>119</v>
      </c>
      <c r="E30" s="9" t="s">
        <v>21</v>
      </c>
      <c r="F30" s="10" t="n">
        <v>1800</v>
      </c>
      <c r="G30" s="10" t="n">
        <v>600</v>
      </c>
      <c r="H30" s="9" t="s">
        <v>21</v>
      </c>
      <c r="I30" s="10" t="n">
        <v>500</v>
      </c>
      <c r="J30" s="9" t="s">
        <v>21</v>
      </c>
      <c r="K30" s="9" t="s">
        <v>21</v>
      </c>
      <c r="L30" s="9" t="s">
        <v>21</v>
      </c>
      <c r="M30" s="9" t="s">
        <v>21</v>
      </c>
      <c r="N30" s="11" t="n">
        <f aca="false">SUMIF(E30:M30,"&gt;0")</f>
        <v>2900</v>
      </c>
      <c r="O30" s="12" t="s">
        <v>120</v>
      </c>
    </row>
    <row r="31" customFormat="false" ht="63.75" hidden="false" customHeight="true" outlineLevel="0" collapsed="false">
      <c r="A31" s="5" t="s">
        <v>121</v>
      </c>
      <c r="B31" s="6" t="s">
        <v>117</v>
      </c>
      <c r="C31" s="7" t="s">
        <v>122</v>
      </c>
      <c r="D31" s="8" t="s">
        <v>123</v>
      </c>
      <c r="E31" s="13" t="s">
        <v>21</v>
      </c>
      <c r="F31" s="14" t="n">
        <v>5000</v>
      </c>
      <c r="G31" s="14" t="n">
        <v>1725</v>
      </c>
      <c r="H31" s="13" t="s">
        <v>21</v>
      </c>
      <c r="I31" s="13" t="s">
        <v>21</v>
      </c>
      <c r="J31" s="13" t="s">
        <v>21</v>
      </c>
      <c r="K31" s="13" t="s">
        <v>21</v>
      </c>
      <c r="L31" s="14" t="n">
        <v>2275</v>
      </c>
      <c r="M31" s="13" t="s">
        <v>21</v>
      </c>
      <c r="N31" s="11" t="n">
        <f aca="false">SUMIF(E31:M31,"&gt;0")</f>
        <v>9000</v>
      </c>
      <c r="O31" s="12" t="s">
        <v>124</v>
      </c>
    </row>
    <row r="32" customFormat="false" ht="18" hidden="false" customHeight="true" outlineLevel="0" collapsed="false">
      <c r="A32" s="18" t="s">
        <v>125</v>
      </c>
      <c r="B32" s="18"/>
      <c r="C32" s="18"/>
      <c r="D32" s="18"/>
      <c r="E32" s="18"/>
      <c r="F32" s="18"/>
      <c r="G32" s="18"/>
      <c r="H32" s="18"/>
      <c r="I32" s="18"/>
      <c r="J32" s="18"/>
      <c r="K32" s="18"/>
      <c r="L32" s="18"/>
      <c r="M32" s="18"/>
      <c r="N32" s="18"/>
      <c r="O32" s="18"/>
    </row>
    <row r="33" customFormat="false" ht="39.75" hidden="false" customHeight="true" outlineLevel="0" collapsed="false">
      <c r="A33" s="5" t="s">
        <v>126</v>
      </c>
      <c r="B33" s="6" t="s">
        <v>127</v>
      </c>
      <c r="C33" s="7" t="s">
        <v>128</v>
      </c>
      <c r="D33" s="8" t="s">
        <v>129</v>
      </c>
      <c r="E33" s="9" t="s">
        <v>21</v>
      </c>
      <c r="F33" s="10" t="n">
        <v>275</v>
      </c>
      <c r="G33" s="9" t="s">
        <v>21</v>
      </c>
      <c r="H33" s="9" t="s">
        <v>21</v>
      </c>
      <c r="I33" s="10" t="n">
        <v>3725</v>
      </c>
      <c r="J33" s="9" t="s">
        <v>21</v>
      </c>
      <c r="K33" s="9" t="s">
        <v>21</v>
      </c>
      <c r="L33" s="9" t="s">
        <v>21</v>
      </c>
      <c r="M33" s="9" t="s">
        <v>21</v>
      </c>
      <c r="N33" s="11" t="n">
        <f aca="false">SUMIF(E33:M33,"&gt;0")</f>
        <v>4000</v>
      </c>
      <c r="O33" s="12" t="s">
        <v>130</v>
      </c>
    </row>
    <row r="34" customFormat="false" ht="48" hidden="false" customHeight="true" outlineLevel="0" collapsed="false">
      <c r="A34" s="5" t="s">
        <v>131</v>
      </c>
      <c r="B34" s="6" t="s">
        <v>127</v>
      </c>
      <c r="C34" s="7" t="s">
        <v>132</v>
      </c>
      <c r="D34" s="8" t="s">
        <v>133</v>
      </c>
      <c r="E34" s="9" t="s">
        <v>21</v>
      </c>
      <c r="F34" s="10" t="n">
        <v>600</v>
      </c>
      <c r="G34" s="9" t="s">
        <v>21</v>
      </c>
      <c r="H34" s="9" t="s">
        <v>21</v>
      </c>
      <c r="I34" s="9" t="s">
        <v>21</v>
      </c>
      <c r="J34" s="9" t="s">
        <v>21</v>
      </c>
      <c r="K34" s="9" t="s">
        <v>21</v>
      </c>
      <c r="L34" s="9" t="s">
        <v>21</v>
      </c>
      <c r="M34" s="9" t="s">
        <v>21</v>
      </c>
      <c r="N34" s="11" t="n">
        <f aca="false">SUMIF(E34:M34,"&gt;0")</f>
        <v>600</v>
      </c>
      <c r="O34" s="12" t="s">
        <v>134</v>
      </c>
    </row>
    <row r="35" customFormat="false" ht="39.75" hidden="false" customHeight="true" outlineLevel="0" collapsed="false">
      <c r="A35" s="5" t="s">
        <v>135</v>
      </c>
      <c r="B35" s="6" t="s">
        <v>127</v>
      </c>
      <c r="C35" s="7" t="s">
        <v>136</v>
      </c>
      <c r="D35" s="8" t="s">
        <v>137</v>
      </c>
      <c r="E35" s="9" t="s">
        <v>21</v>
      </c>
      <c r="F35" s="10" t="n">
        <v>6000</v>
      </c>
      <c r="G35" s="9" t="s">
        <v>21</v>
      </c>
      <c r="H35" s="9" t="s">
        <v>21</v>
      </c>
      <c r="I35" s="9" t="s">
        <v>21</v>
      </c>
      <c r="J35" s="9" t="s">
        <v>21</v>
      </c>
      <c r="K35" s="9" t="s">
        <v>21</v>
      </c>
      <c r="L35" s="9" t="s">
        <v>21</v>
      </c>
      <c r="M35" s="9" t="s">
        <v>21</v>
      </c>
      <c r="N35" s="11" t="n">
        <f aca="false">SUMIF(E35:M35,"&gt;0")</f>
        <v>6000</v>
      </c>
      <c r="O35" s="12" t="s">
        <v>138</v>
      </c>
    </row>
  </sheetData>
  <mergeCells count="6">
    <mergeCell ref="A1:O1"/>
    <mergeCell ref="A3:O3"/>
    <mergeCell ref="A13:O13"/>
    <mergeCell ref="A24:O24"/>
    <mergeCell ref="A29:O29"/>
    <mergeCell ref="A32:O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42"/>
    <col collapsed="false" customWidth="true" hidden="false" outlineLevel="0" max="4" min="4" style="0" width="30"/>
    <col collapsed="false" customWidth="true" hidden="false" outlineLevel="0" max="13" min="5" style="0" width="10"/>
    <col collapsed="false" customWidth="true" hidden="false" outlineLevel="0" max="14" min="14" style="0" width="12"/>
    <col collapsed="false" customWidth="true" hidden="false" outlineLevel="0" max="15" min="15" style="0" width="52"/>
  </cols>
  <sheetData>
    <row r="1" customFormat="false" ht="21.75" hidden="false" customHeight="true" outlineLevel="0" collapsed="false">
      <c r="A1" s="1" t="s">
        <v>139</v>
      </c>
      <c r="B1" s="1"/>
      <c r="C1" s="1"/>
      <c r="D1" s="1"/>
      <c r="E1" s="1"/>
      <c r="F1" s="1"/>
      <c r="G1" s="1"/>
      <c r="H1" s="1"/>
      <c r="I1" s="1"/>
      <c r="J1" s="1"/>
      <c r="K1" s="1"/>
      <c r="L1" s="1"/>
      <c r="M1" s="1"/>
      <c r="N1" s="1"/>
      <c r="O1" s="1"/>
    </row>
    <row r="2" customFormat="false" ht="27.75" hidden="false" customHeight="true" outlineLevel="0" collapsed="false">
      <c r="A2" s="2" t="s">
        <v>1</v>
      </c>
      <c r="B2" s="2" t="s">
        <v>2</v>
      </c>
      <c r="C2" s="2" t="s">
        <v>3</v>
      </c>
      <c r="D2" s="2" t="s">
        <v>4</v>
      </c>
      <c r="E2" s="19" t="s">
        <v>5</v>
      </c>
      <c r="F2" s="19" t="s">
        <v>6</v>
      </c>
      <c r="G2" s="19" t="s">
        <v>7</v>
      </c>
      <c r="H2" s="19" t="s">
        <v>8</v>
      </c>
      <c r="I2" s="19" t="s">
        <v>9</v>
      </c>
      <c r="J2" s="19" t="s">
        <v>10</v>
      </c>
      <c r="K2" s="19" t="s">
        <v>11</v>
      </c>
      <c r="L2" s="19" t="s">
        <v>12</v>
      </c>
      <c r="M2" s="19" t="s">
        <v>13</v>
      </c>
      <c r="N2" s="2" t="s">
        <v>14</v>
      </c>
      <c r="O2" s="2" t="s">
        <v>15</v>
      </c>
    </row>
    <row r="3" customFormat="false" ht="18" hidden="false" customHeight="true" outlineLevel="0" collapsed="false">
      <c r="A3" s="4" t="s">
        <v>16</v>
      </c>
      <c r="B3" s="4"/>
      <c r="C3" s="4"/>
      <c r="D3" s="4"/>
      <c r="E3" s="4"/>
      <c r="F3" s="4"/>
      <c r="G3" s="4"/>
      <c r="H3" s="4"/>
      <c r="I3" s="4"/>
      <c r="J3" s="4"/>
      <c r="K3" s="4"/>
      <c r="L3" s="4"/>
      <c r="M3" s="4"/>
      <c r="N3" s="4"/>
      <c r="O3" s="4"/>
    </row>
    <row r="4" customFormat="false" ht="39.75" hidden="false" customHeight="true" outlineLevel="0" collapsed="false">
      <c r="A4" s="5" t="s">
        <v>17</v>
      </c>
      <c r="B4" s="6" t="s">
        <v>18</v>
      </c>
      <c r="C4" s="7" t="s">
        <v>19</v>
      </c>
      <c r="D4" s="8" t="s">
        <v>20</v>
      </c>
      <c r="E4" s="20" t="s">
        <v>21</v>
      </c>
      <c r="F4" s="21" t="n">
        <v>1247.5</v>
      </c>
      <c r="G4" s="20" t="s">
        <v>21</v>
      </c>
      <c r="H4" s="20" t="s">
        <v>21</v>
      </c>
      <c r="I4" s="20" t="s">
        <v>21</v>
      </c>
      <c r="J4" s="20" t="s">
        <v>21</v>
      </c>
      <c r="K4" s="20" t="s">
        <v>21</v>
      </c>
      <c r="L4" s="20" t="s">
        <v>21</v>
      </c>
      <c r="M4" s="20" t="s">
        <v>21</v>
      </c>
      <c r="N4" s="22" t="n">
        <f aca="false">SUMIF(E4:M4,"&gt;0")</f>
        <v>1247.5</v>
      </c>
      <c r="O4" s="12" t="s">
        <v>22</v>
      </c>
    </row>
    <row r="5" customFormat="false" ht="39.75" hidden="false" customHeight="true" outlineLevel="0" collapsed="false">
      <c r="A5" s="5" t="s">
        <v>23</v>
      </c>
      <c r="B5" s="6" t="s">
        <v>18</v>
      </c>
      <c r="C5" s="7" t="s">
        <v>24</v>
      </c>
      <c r="D5" s="8" t="s">
        <v>25</v>
      </c>
      <c r="E5" s="13" t="s">
        <v>21</v>
      </c>
      <c r="F5" s="23" t="n">
        <v>6725</v>
      </c>
      <c r="G5" s="13" t="s">
        <v>21</v>
      </c>
      <c r="H5" s="13" t="s">
        <v>21</v>
      </c>
      <c r="I5" s="13" t="s">
        <v>21</v>
      </c>
      <c r="J5" s="13" t="s">
        <v>21</v>
      </c>
      <c r="K5" s="13" t="s">
        <v>21</v>
      </c>
      <c r="L5" s="23" t="n">
        <v>1275</v>
      </c>
      <c r="M5" s="13" t="s">
        <v>21</v>
      </c>
      <c r="N5" s="22" t="n">
        <f aca="false">SUMIF(E5:M5,"&gt;0")</f>
        <v>8000</v>
      </c>
      <c r="O5" s="12" t="s">
        <v>26</v>
      </c>
    </row>
    <row r="6" customFormat="false" ht="39.75" hidden="false" customHeight="true" outlineLevel="0" collapsed="false">
      <c r="A6" s="5" t="s">
        <v>27</v>
      </c>
      <c r="B6" s="6" t="s">
        <v>18</v>
      </c>
      <c r="C6" s="7" t="s">
        <v>28</v>
      </c>
      <c r="D6" s="8" t="s">
        <v>29</v>
      </c>
      <c r="E6" s="20" t="s">
        <v>21</v>
      </c>
      <c r="F6" s="20" t="s">
        <v>21</v>
      </c>
      <c r="G6" s="20" t="s">
        <v>21</v>
      </c>
      <c r="H6" s="20" t="s">
        <v>21</v>
      </c>
      <c r="I6" s="20" t="s">
        <v>21</v>
      </c>
      <c r="J6" s="20" t="s">
        <v>21</v>
      </c>
      <c r="K6" s="21" t="n">
        <v>200</v>
      </c>
      <c r="L6" s="20" t="s">
        <v>21</v>
      </c>
      <c r="M6" s="20" t="s">
        <v>21</v>
      </c>
      <c r="N6" s="22" t="n">
        <f aca="false">SUMIF(E6:M6,"&gt;0")</f>
        <v>200</v>
      </c>
      <c r="O6" s="12" t="s">
        <v>30</v>
      </c>
    </row>
    <row r="7" customFormat="false" ht="39.75" hidden="false" customHeight="true" outlineLevel="0" collapsed="false">
      <c r="A7" s="5" t="s">
        <v>31</v>
      </c>
      <c r="B7" s="6" t="s">
        <v>18</v>
      </c>
      <c r="C7" s="7" t="s">
        <v>32</v>
      </c>
      <c r="D7" s="8" t="s">
        <v>33</v>
      </c>
      <c r="E7" s="20" t="s">
        <v>21</v>
      </c>
      <c r="F7" s="20" t="s">
        <v>21</v>
      </c>
      <c r="G7" s="20" t="s">
        <v>21</v>
      </c>
      <c r="H7" s="20" t="s">
        <v>21</v>
      </c>
      <c r="I7" s="20" t="s">
        <v>21</v>
      </c>
      <c r="J7" s="20" t="s">
        <v>21</v>
      </c>
      <c r="K7" s="21" t="n">
        <v>1500</v>
      </c>
      <c r="L7" s="20" t="s">
        <v>21</v>
      </c>
      <c r="M7" s="20" t="s">
        <v>21</v>
      </c>
      <c r="N7" s="22" t="n">
        <f aca="false">SUMIF(E7:M7,"&gt;0")</f>
        <v>1500</v>
      </c>
      <c r="O7" s="12" t="s">
        <v>34</v>
      </c>
    </row>
    <row r="8" customFormat="false" ht="39.75" hidden="false" customHeight="true" outlineLevel="0" collapsed="false">
      <c r="A8" s="5" t="s">
        <v>35</v>
      </c>
      <c r="B8" s="6" t="s">
        <v>18</v>
      </c>
      <c r="C8" s="7" t="s">
        <v>36</v>
      </c>
      <c r="D8" s="8" t="s">
        <v>37</v>
      </c>
      <c r="E8" s="13" t="s">
        <v>21</v>
      </c>
      <c r="F8" s="13" t="s">
        <v>21</v>
      </c>
      <c r="G8" s="13" t="s">
        <v>21</v>
      </c>
      <c r="H8" s="13" t="s">
        <v>21</v>
      </c>
      <c r="I8" s="13" t="s">
        <v>21</v>
      </c>
      <c r="J8" s="13" t="s">
        <v>21</v>
      </c>
      <c r="K8" s="23" t="n">
        <v>6725</v>
      </c>
      <c r="L8" s="23" t="n">
        <v>1275</v>
      </c>
      <c r="M8" s="13" t="s">
        <v>21</v>
      </c>
      <c r="N8" s="22" t="n">
        <f aca="false">SUMIF(E8:M8,"&gt;0")</f>
        <v>8000</v>
      </c>
      <c r="O8" s="12" t="s">
        <v>38</v>
      </c>
    </row>
    <row r="9" customFormat="false" ht="39.75" hidden="false" customHeight="true" outlineLevel="0" collapsed="false">
      <c r="A9" s="5" t="s">
        <v>39</v>
      </c>
      <c r="B9" s="6" t="s">
        <v>18</v>
      </c>
      <c r="C9" s="7" t="s">
        <v>40</v>
      </c>
      <c r="D9" s="8" t="s">
        <v>41</v>
      </c>
      <c r="E9" s="20" t="s">
        <v>21</v>
      </c>
      <c r="F9" s="20" t="s">
        <v>21</v>
      </c>
      <c r="G9" s="20" t="s">
        <v>21</v>
      </c>
      <c r="H9" s="20" t="s">
        <v>21</v>
      </c>
      <c r="I9" s="20" t="s">
        <v>21</v>
      </c>
      <c r="J9" s="20" t="s">
        <v>21</v>
      </c>
      <c r="K9" s="20" t="s">
        <v>21</v>
      </c>
      <c r="L9" s="21" t="n">
        <v>1000</v>
      </c>
      <c r="M9" s="20" t="s">
        <v>21</v>
      </c>
      <c r="N9" s="22" t="n">
        <f aca="false">SUMIF(E9:M9,"&gt;0")</f>
        <v>1000</v>
      </c>
      <c r="O9" s="12" t="s">
        <v>42</v>
      </c>
    </row>
    <row r="10" customFormat="false" ht="39.75" hidden="false" customHeight="true" outlineLevel="0" collapsed="false">
      <c r="A10" s="5" t="s">
        <v>43</v>
      </c>
      <c r="B10" s="6" t="s">
        <v>18</v>
      </c>
      <c r="C10" s="7" t="s">
        <v>44</v>
      </c>
      <c r="D10" s="8" t="s">
        <v>45</v>
      </c>
      <c r="E10" s="13" t="s">
        <v>21</v>
      </c>
      <c r="F10" s="13" t="s">
        <v>21</v>
      </c>
      <c r="G10" s="13" t="s">
        <v>21</v>
      </c>
      <c r="H10" s="13" t="s">
        <v>21</v>
      </c>
      <c r="I10" s="13" t="s">
        <v>21</v>
      </c>
      <c r="J10" s="13" t="s">
        <v>21</v>
      </c>
      <c r="K10" s="13" t="s">
        <v>21</v>
      </c>
      <c r="L10" s="23" t="n">
        <v>8000</v>
      </c>
      <c r="M10" s="13" t="s">
        <v>21</v>
      </c>
      <c r="N10" s="22" t="n">
        <f aca="false">SUMIF(E10:M10,"&gt;0")</f>
        <v>8000</v>
      </c>
      <c r="O10" s="12" t="s">
        <v>46</v>
      </c>
    </row>
    <row r="11" customFormat="false" ht="39.75" hidden="false" customHeight="true" outlineLevel="0" collapsed="false">
      <c r="A11" s="5" t="s">
        <v>47</v>
      </c>
      <c r="B11" s="6" t="s">
        <v>18</v>
      </c>
      <c r="C11" s="7" t="s">
        <v>48</v>
      </c>
      <c r="D11" s="8" t="s">
        <v>49</v>
      </c>
      <c r="E11" s="20" t="s">
        <v>21</v>
      </c>
      <c r="F11" s="20" t="s">
        <v>21</v>
      </c>
      <c r="G11" s="20" t="s">
        <v>21</v>
      </c>
      <c r="H11" s="20" t="s">
        <v>21</v>
      </c>
      <c r="I11" s="20" t="s">
        <v>21</v>
      </c>
      <c r="J11" s="20" t="s">
        <v>21</v>
      </c>
      <c r="K11" s="21" t="n">
        <v>1500</v>
      </c>
      <c r="L11" s="20" t="s">
        <v>21</v>
      </c>
      <c r="M11" s="20" t="s">
        <v>21</v>
      </c>
      <c r="N11" s="22" t="n">
        <f aca="false">SUMIF(E11:M11,"&gt;0")</f>
        <v>1500</v>
      </c>
      <c r="O11" s="12" t="s">
        <v>50</v>
      </c>
    </row>
    <row r="12" customFormat="false" ht="39.75" hidden="false" customHeight="true" outlineLevel="0" collapsed="false">
      <c r="A12" s="5" t="s">
        <v>51</v>
      </c>
      <c r="B12" s="6" t="s">
        <v>18</v>
      </c>
      <c r="C12" s="7" t="s">
        <v>52</v>
      </c>
      <c r="D12" s="8" t="s">
        <v>53</v>
      </c>
      <c r="E12" s="13" t="s">
        <v>21</v>
      </c>
      <c r="F12" s="13" t="s">
        <v>21</v>
      </c>
      <c r="G12" s="13" t="s">
        <v>21</v>
      </c>
      <c r="H12" s="13" t="s">
        <v>21</v>
      </c>
      <c r="I12" s="13" t="s">
        <v>21</v>
      </c>
      <c r="J12" s="13" t="s">
        <v>21</v>
      </c>
      <c r="K12" s="23" t="n">
        <v>6725</v>
      </c>
      <c r="L12" s="23" t="n">
        <v>1275</v>
      </c>
      <c r="M12" s="13" t="s">
        <v>21</v>
      </c>
      <c r="N12" s="22" t="n">
        <f aca="false">SUMIF(E12:M12,"&gt;0")</f>
        <v>8000</v>
      </c>
      <c r="O12" s="12" t="s">
        <v>54</v>
      </c>
    </row>
    <row r="13" customFormat="false" ht="18" hidden="false" customHeight="true" outlineLevel="0" collapsed="false">
      <c r="A13" s="15" t="s">
        <v>55</v>
      </c>
      <c r="B13" s="15"/>
      <c r="C13" s="15"/>
      <c r="D13" s="15"/>
      <c r="E13" s="15"/>
      <c r="F13" s="15"/>
      <c r="G13" s="15"/>
      <c r="H13" s="15"/>
      <c r="I13" s="15"/>
      <c r="J13" s="15"/>
      <c r="K13" s="15"/>
      <c r="L13" s="15"/>
      <c r="M13" s="15"/>
      <c r="N13" s="15"/>
      <c r="O13" s="15"/>
    </row>
    <row r="14" customFormat="false" ht="39.75" hidden="false" customHeight="true" outlineLevel="0" collapsed="false">
      <c r="A14" s="5" t="s">
        <v>56</v>
      </c>
      <c r="B14" s="6" t="s">
        <v>57</v>
      </c>
      <c r="C14" s="7" t="s">
        <v>58</v>
      </c>
      <c r="D14" s="8" t="s">
        <v>59</v>
      </c>
      <c r="E14" s="20" t="s">
        <v>21</v>
      </c>
      <c r="F14" s="21" t="n">
        <v>2000</v>
      </c>
      <c r="G14" s="20" t="s">
        <v>21</v>
      </c>
      <c r="H14" s="20" t="s">
        <v>21</v>
      </c>
      <c r="I14" s="20" t="s">
        <v>21</v>
      </c>
      <c r="J14" s="20" t="s">
        <v>21</v>
      </c>
      <c r="K14" s="21" t="n">
        <v>1500</v>
      </c>
      <c r="L14" s="20" t="s">
        <v>21</v>
      </c>
      <c r="M14" s="20" t="s">
        <v>21</v>
      </c>
      <c r="N14" s="22" t="n">
        <f aca="false">SUMIF(E14:M14,"&gt;0")</f>
        <v>3500</v>
      </c>
      <c r="O14" s="12" t="s">
        <v>60</v>
      </c>
    </row>
    <row r="15" customFormat="false" ht="39.75" hidden="false" customHeight="true" outlineLevel="0" collapsed="false">
      <c r="A15" s="5" t="s">
        <v>61</v>
      </c>
      <c r="B15" s="6" t="s">
        <v>57</v>
      </c>
      <c r="C15" s="7" t="s">
        <v>62</v>
      </c>
      <c r="D15" s="8" t="s">
        <v>63</v>
      </c>
      <c r="E15" s="13" t="s">
        <v>21</v>
      </c>
      <c r="F15" s="23" t="n">
        <v>4500</v>
      </c>
      <c r="G15" s="13" t="s">
        <v>21</v>
      </c>
      <c r="H15" s="13" t="s">
        <v>21</v>
      </c>
      <c r="I15" s="13" t="s">
        <v>21</v>
      </c>
      <c r="J15" s="13" t="s">
        <v>21</v>
      </c>
      <c r="K15" s="23" t="n">
        <v>2225</v>
      </c>
      <c r="L15" s="23" t="n">
        <v>1275</v>
      </c>
      <c r="M15" s="13" t="s">
        <v>21</v>
      </c>
      <c r="N15" s="22" t="n">
        <f aca="false">SUMIF(E15:M15,"&gt;0")</f>
        <v>8000</v>
      </c>
      <c r="O15" s="12" t="s">
        <v>64</v>
      </c>
    </row>
    <row r="16" customFormat="false" ht="39.75" hidden="false" customHeight="true" outlineLevel="0" collapsed="false">
      <c r="A16" s="5" t="s">
        <v>65</v>
      </c>
      <c r="B16" s="6" t="s">
        <v>57</v>
      </c>
      <c r="C16" s="7" t="s">
        <v>66</v>
      </c>
      <c r="D16" s="8" t="s">
        <v>67</v>
      </c>
      <c r="E16" s="20" t="s">
        <v>21</v>
      </c>
      <c r="F16" s="21" t="n">
        <v>3000</v>
      </c>
      <c r="G16" s="20" t="s">
        <v>21</v>
      </c>
      <c r="H16" s="20" t="s">
        <v>21</v>
      </c>
      <c r="I16" s="20" t="s">
        <v>21</v>
      </c>
      <c r="J16" s="20" t="s">
        <v>21</v>
      </c>
      <c r="K16" s="21" t="n">
        <v>2000</v>
      </c>
      <c r="L16" s="20" t="s">
        <v>21</v>
      </c>
      <c r="M16" s="20" t="s">
        <v>21</v>
      </c>
      <c r="N16" s="22" t="n">
        <f aca="false">SUMIF(E16:M16,"&gt;0")</f>
        <v>5000</v>
      </c>
      <c r="O16" s="12" t="s">
        <v>68</v>
      </c>
    </row>
    <row r="17" customFormat="false" ht="39.75" hidden="false" customHeight="true" outlineLevel="0" collapsed="false">
      <c r="A17" s="5" t="s">
        <v>69</v>
      </c>
      <c r="B17" s="6" t="s">
        <v>57</v>
      </c>
      <c r="C17" s="7" t="s">
        <v>70</v>
      </c>
      <c r="D17" s="8" t="s">
        <v>71</v>
      </c>
      <c r="E17" s="13" t="s">
        <v>21</v>
      </c>
      <c r="F17" s="23" t="n">
        <v>6000</v>
      </c>
      <c r="G17" s="13" t="s">
        <v>21</v>
      </c>
      <c r="H17" s="13" t="s">
        <v>21</v>
      </c>
      <c r="I17" s="13" t="s">
        <v>21</v>
      </c>
      <c r="J17" s="13" t="s">
        <v>21</v>
      </c>
      <c r="K17" s="23" t="n">
        <v>725</v>
      </c>
      <c r="L17" s="23" t="n">
        <v>1275</v>
      </c>
      <c r="M17" s="13" t="s">
        <v>21</v>
      </c>
      <c r="N17" s="22" t="n">
        <f aca="false">SUMIF(E17:M17,"&gt;0")</f>
        <v>8000</v>
      </c>
      <c r="O17" s="12" t="s">
        <v>72</v>
      </c>
    </row>
    <row r="18" customFormat="false" ht="39.75" hidden="false" customHeight="true" outlineLevel="0" collapsed="false">
      <c r="A18" s="5" t="s">
        <v>73</v>
      </c>
      <c r="B18" s="6" t="s">
        <v>57</v>
      </c>
      <c r="C18" s="7" t="s">
        <v>74</v>
      </c>
      <c r="D18" s="8" t="s">
        <v>75</v>
      </c>
      <c r="E18" s="20" t="s">
        <v>21</v>
      </c>
      <c r="F18" s="21" t="n">
        <v>3000</v>
      </c>
      <c r="G18" s="20" t="s">
        <v>21</v>
      </c>
      <c r="H18" s="20" t="s">
        <v>21</v>
      </c>
      <c r="I18" s="20" t="s">
        <v>21</v>
      </c>
      <c r="J18" s="20" t="s">
        <v>21</v>
      </c>
      <c r="K18" s="20" t="s">
        <v>21</v>
      </c>
      <c r="L18" s="21" t="n">
        <v>2000</v>
      </c>
      <c r="M18" s="20" t="s">
        <v>21</v>
      </c>
      <c r="N18" s="22" t="n">
        <f aca="false">SUMIF(E18:M18,"&gt;0")</f>
        <v>5000</v>
      </c>
      <c r="O18" s="12" t="s">
        <v>76</v>
      </c>
    </row>
    <row r="19" customFormat="false" ht="39.75" hidden="false" customHeight="true" outlineLevel="0" collapsed="false">
      <c r="A19" s="5" t="s">
        <v>77</v>
      </c>
      <c r="B19" s="6" t="s">
        <v>57</v>
      </c>
      <c r="C19" s="7" t="s">
        <v>78</v>
      </c>
      <c r="D19" s="8" t="s">
        <v>79</v>
      </c>
      <c r="E19" s="13" t="s">
        <v>21</v>
      </c>
      <c r="F19" s="23" t="n">
        <v>6725</v>
      </c>
      <c r="G19" s="13" t="s">
        <v>21</v>
      </c>
      <c r="H19" s="13" t="s">
        <v>21</v>
      </c>
      <c r="I19" s="13" t="s">
        <v>21</v>
      </c>
      <c r="J19" s="13" t="s">
        <v>21</v>
      </c>
      <c r="K19" s="13" t="s">
        <v>21</v>
      </c>
      <c r="L19" s="23" t="n">
        <v>1500</v>
      </c>
      <c r="M19" s="13" t="s">
        <v>21</v>
      </c>
      <c r="N19" s="22" t="n">
        <f aca="false">SUMIF(E19:M19,"&gt;0")</f>
        <v>8225</v>
      </c>
      <c r="O19" s="12" t="s">
        <v>80</v>
      </c>
    </row>
    <row r="20" customFormat="false" ht="39.75" hidden="false" customHeight="true" outlineLevel="0" collapsed="false">
      <c r="A20" s="5" t="s">
        <v>81</v>
      </c>
      <c r="B20" s="6" t="s">
        <v>57</v>
      </c>
      <c r="C20" s="7" t="s">
        <v>82</v>
      </c>
      <c r="D20" s="8" t="s">
        <v>83</v>
      </c>
      <c r="E20" s="20" t="s">
        <v>21</v>
      </c>
      <c r="F20" s="20" t="s">
        <v>21</v>
      </c>
      <c r="G20" s="20" t="s">
        <v>21</v>
      </c>
      <c r="H20" s="20" t="s">
        <v>21</v>
      </c>
      <c r="I20" s="20" t="s">
        <v>21</v>
      </c>
      <c r="J20" s="20" t="s">
        <v>21</v>
      </c>
      <c r="K20" s="21" t="n">
        <v>650</v>
      </c>
      <c r="L20" s="20" t="s">
        <v>21</v>
      </c>
      <c r="M20" s="20" t="s">
        <v>21</v>
      </c>
      <c r="N20" s="22" t="n">
        <f aca="false">SUMIF(E20:M20,"&gt;0")</f>
        <v>650</v>
      </c>
      <c r="O20" s="12" t="s">
        <v>84</v>
      </c>
    </row>
    <row r="21" customFormat="false" ht="39.75" hidden="false" customHeight="true" outlineLevel="0" collapsed="false">
      <c r="A21" s="5" t="s">
        <v>85</v>
      </c>
      <c r="B21" s="6" t="s">
        <v>57</v>
      </c>
      <c r="C21" s="7" t="s">
        <v>86</v>
      </c>
      <c r="D21" s="8" t="s">
        <v>87</v>
      </c>
      <c r="E21" s="20" t="s">
        <v>21</v>
      </c>
      <c r="F21" s="20" t="s">
        <v>21</v>
      </c>
      <c r="G21" s="20" t="s">
        <v>21</v>
      </c>
      <c r="H21" s="20" t="s">
        <v>21</v>
      </c>
      <c r="I21" s="20" t="s">
        <v>21</v>
      </c>
      <c r="J21" s="20" t="s">
        <v>21</v>
      </c>
      <c r="K21" s="21" t="n">
        <v>1400</v>
      </c>
      <c r="L21" s="20" t="s">
        <v>21</v>
      </c>
      <c r="M21" s="20" t="s">
        <v>21</v>
      </c>
      <c r="N21" s="22" t="n">
        <f aca="false">SUMIF(E21:M21,"&gt;0")</f>
        <v>1400</v>
      </c>
      <c r="O21" s="12" t="s">
        <v>88</v>
      </c>
    </row>
    <row r="22" customFormat="false" ht="39.75" hidden="false" customHeight="true" outlineLevel="0" collapsed="false">
      <c r="A22" s="5" t="s">
        <v>89</v>
      </c>
      <c r="B22" s="6" t="s">
        <v>57</v>
      </c>
      <c r="C22" s="7" t="s">
        <v>90</v>
      </c>
      <c r="D22" s="8" t="s">
        <v>91</v>
      </c>
      <c r="E22" s="20" t="s">
        <v>21</v>
      </c>
      <c r="F22" s="20" t="s">
        <v>21</v>
      </c>
      <c r="G22" s="20" t="s">
        <v>21</v>
      </c>
      <c r="H22" s="20" t="s">
        <v>21</v>
      </c>
      <c r="I22" s="20" t="s">
        <v>21</v>
      </c>
      <c r="J22" s="20" t="s">
        <v>21</v>
      </c>
      <c r="K22" s="21" t="n">
        <v>500</v>
      </c>
      <c r="L22" s="21" t="n">
        <v>150</v>
      </c>
      <c r="M22" s="20" t="s">
        <v>21</v>
      </c>
      <c r="N22" s="22" t="n">
        <f aca="false">SUMIF(E22:M22,"&gt;0")</f>
        <v>650</v>
      </c>
      <c r="O22" s="12" t="s">
        <v>92</v>
      </c>
    </row>
    <row r="23" customFormat="false" ht="39.75" hidden="false" customHeight="true" outlineLevel="0" collapsed="false">
      <c r="A23" s="5" t="s">
        <v>93</v>
      </c>
      <c r="B23" s="6" t="s">
        <v>57</v>
      </c>
      <c r="C23" s="7" t="s">
        <v>94</v>
      </c>
      <c r="D23" s="8" t="s">
        <v>95</v>
      </c>
      <c r="E23" s="20" t="s">
        <v>21</v>
      </c>
      <c r="F23" s="20" t="s">
        <v>21</v>
      </c>
      <c r="G23" s="20" t="s">
        <v>21</v>
      </c>
      <c r="H23" s="20" t="s">
        <v>21</v>
      </c>
      <c r="I23" s="20" t="s">
        <v>21</v>
      </c>
      <c r="J23" s="20" t="s">
        <v>21</v>
      </c>
      <c r="K23" s="21" t="n">
        <v>500</v>
      </c>
      <c r="L23" s="21" t="n">
        <v>800</v>
      </c>
      <c r="M23" s="20" t="s">
        <v>21</v>
      </c>
      <c r="N23" s="22" t="n">
        <f aca="false">SUMIF(E23:M23,"&gt;0")</f>
        <v>1300</v>
      </c>
      <c r="O23" s="12" t="s">
        <v>96</v>
      </c>
    </row>
    <row r="24" customFormat="false" ht="18" hidden="false" customHeight="true" outlineLevel="0" collapsed="false">
      <c r="A24" s="16" t="s">
        <v>97</v>
      </c>
      <c r="B24" s="16"/>
      <c r="C24" s="16"/>
      <c r="D24" s="16"/>
      <c r="E24" s="16"/>
      <c r="F24" s="16"/>
      <c r="G24" s="16"/>
      <c r="H24" s="16"/>
      <c r="I24" s="16"/>
      <c r="J24" s="16"/>
      <c r="K24" s="16"/>
      <c r="L24" s="16"/>
      <c r="M24" s="16"/>
      <c r="N24" s="16"/>
      <c r="O24" s="16"/>
    </row>
    <row r="25" customFormat="false" ht="48" hidden="false" customHeight="true" outlineLevel="0" collapsed="false">
      <c r="A25" s="5" t="s">
        <v>98</v>
      </c>
      <c r="B25" s="6" t="s">
        <v>99</v>
      </c>
      <c r="C25" s="7" t="s">
        <v>100</v>
      </c>
      <c r="D25" s="8" t="s">
        <v>101</v>
      </c>
      <c r="E25" s="20" t="s">
        <v>21</v>
      </c>
      <c r="F25" s="21" t="n">
        <v>2000</v>
      </c>
      <c r="G25" s="20" t="s">
        <v>21</v>
      </c>
      <c r="H25" s="20" t="s">
        <v>21</v>
      </c>
      <c r="I25" s="20" t="s">
        <v>21</v>
      </c>
      <c r="J25" s="20" t="s">
        <v>21</v>
      </c>
      <c r="K25" s="21" t="n">
        <v>500</v>
      </c>
      <c r="L25" s="21" t="n">
        <v>1000</v>
      </c>
      <c r="M25" s="20" t="s">
        <v>21</v>
      </c>
      <c r="N25" s="22" t="n">
        <f aca="false">SUMIF(E25:M25,"&gt;0")</f>
        <v>3500</v>
      </c>
      <c r="O25" s="12" t="s">
        <v>102</v>
      </c>
    </row>
    <row r="26" customFormat="false" ht="48" hidden="false" customHeight="true" outlineLevel="0" collapsed="false">
      <c r="A26" s="5" t="s">
        <v>103</v>
      </c>
      <c r="B26" s="6" t="s">
        <v>99</v>
      </c>
      <c r="C26" s="7" t="s">
        <v>104</v>
      </c>
      <c r="D26" s="8" t="s">
        <v>105</v>
      </c>
      <c r="E26" s="13" t="s">
        <v>21</v>
      </c>
      <c r="F26" s="23" t="n">
        <v>3000</v>
      </c>
      <c r="G26" s="13" t="s">
        <v>21</v>
      </c>
      <c r="H26" s="13" t="s">
        <v>21</v>
      </c>
      <c r="I26" s="13" t="s">
        <v>21</v>
      </c>
      <c r="J26" s="13" t="s">
        <v>21</v>
      </c>
      <c r="K26" s="23" t="n">
        <v>2000</v>
      </c>
      <c r="L26" s="23" t="n">
        <v>2000</v>
      </c>
      <c r="M26" s="13" t="s">
        <v>21</v>
      </c>
      <c r="N26" s="22" t="n">
        <f aca="false">SUMIF(E26:M26,"&gt;0")</f>
        <v>7000</v>
      </c>
      <c r="O26" s="12" t="s">
        <v>106</v>
      </c>
    </row>
    <row r="27" customFormat="false" ht="48" hidden="false" customHeight="true" outlineLevel="0" collapsed="false">
      <c r="A27" s="5" t="s">
        <v>107</v>
      </c>
      <c r="B27" s="6" t="s">
        <v>99</v>
      </c>
      <c r="C27" s="7" t="s">
        <v>108</v>
      </c>
      <c r="D27" s="8" t="s">
        <v>109</v>
      </c>
      <c r="E27" s="20" t="s">
        <v>21</v>
      </c>
      <c r="F27" s="20" t="s">
        <v>21</v>
      </c>
      <c r="G27" s="20" t="s">
        <v>21</v>
      </c>
      <c r="H27" s="20" t="s">
        <v>21</v>
      </c>
      <c r="I27" s="20" t="s">
        <v>21</v>
      </c>
      <c r="J27" s="20" t="s">
        <v>21</v>
      </c>
      <c r="K27" s="21" t="n">
        <v>175</v>
      </c>
      <c r="L27" s="21" t="n">
        <v>100</v>
      </c>
      <c r="M27" s="20" t="s">
        <v>21</v>
      </c>
      <c r="N27" s="22" t="n">
        <f aca="false">SUMIF(E27:M27,"&gt;0")</f>
        <v>275</v>
      </c>
      <c r="O27" s="12" t="s">
        <v>110</v>
      </c>
    </row>
    <row r="28" customFormat="false" ht="48" hidden="false" customHeight="true" outlineLevel="0" collapsed="false">
      <c r="A28" s="5" t="s">
        <v>111</v>
      </c>
      <c r="B28" s="6" t="s">
        <v>99</v>
      </c>
      <c r="C28" s="7" t="s">
        <v>112</v>
      </c>
      <c r="D28" s="8" t="s">
        <v>113</v>
      </c>
      <c r="E28" s="13" t="s">
        <v>21</v>
      </c>
      <c r="F28" s="13" t="s">
        <v>21</v>
      </c>
      <c r="G28" s="13" t="s">
        <v>21</v>
      </c>
      <c r="H28" s="13" t="s">
        <v>21</v>
      </c>
      <c r="I28" s="13" t="s">
        <v>21</v>
      </c>
      <c r="J28" s="13" t="s">
        <v>21</v>
      </c>
      <c r="K28" s="23" t="n">
        <v>5500</v>
      </c>
      <c r="L28" s="23" t="n">
        <v>2500</v>
      </c>
      <c r="M28" s="13" t="s">
        <v>21</v>
      </c>
      <c r="N28" s="22" t="n">
        <f aca="false">SUMIF(E28:M28,"&gt;0")</f>
        <v>8000</v>
      </c>
      <c r="O28" s="12" t="s">
        <v>114</v>
      </c>
    </row>
    <row r="29" customFormat="false" ht="18" hidden="false" customHeight="true" outlineLevel="0" collapsed="false">
      <c r="A29" s="17" t="s">
        <v>115</v>
      </c>
      <c r="B29" s="17"/>
      <c r="C29" s="17"/>
      <c r="D29" s="17"/>
      <c r="E29" s="17"/>
      <c r="F29" s="17"/>
      <c r="G29" s="17"/>
      <c r="H29" s="17"/>
      <c r="I29" s="17"/>
      <c r="J29" s="17"/>
      <c r="K29" s="17"/>
      <c r="L29" s="17"/>
      <c r="M29" s="17"/>
      <c r="N29" s="17"/>
      <c r="O29" s="17"/>
    </row>
    <row r="30" customFormat="false" ht="63.75" hidden="false" customHeight="true" outlineLevel="0" collapsed="false">
      <c r="A30" s="5" t="s">
        <v>116</v>
      </c>
      <c r="B30" s="6" t="s">
        <v>117</v>
      </c>
      <c r="C30" s="7" t="s">
        <v>118</v>
      </c>
      <c r="D30" s="8" t="s">
        <v>119</v>
      </c>
      <c r="E30" s="20" t="s">
        <v>21</v>
      </c>
      <c r="F30" s="21" t="n">
        <v>1000</v>
      </c>
      <c r="G30" s="20" t="s">
        <v>21</v>
      </c>
      <c r="H30" s="20" t="s">
        <v>21</v>
      </c>
      <c r="I30" s="20" t="s">
        <v>21</v>
      </c>
      <c r="J30" s="20" t="s">
        <v>21</v>
      </c>
      <c r="K30" s="21" t="n">
        <v>1300</v>
      </c>
      <c r="L30" s="21" t="n">
        <v>600</v>
      </c>
      <c r="M30" s="20" t="s">
        <v>21</v>
      </c>
      <c r="N30" s="22" t="n">
        <f aca="false">SUMIF(E30:M30,"&gt;0")</f>
        <v>2900</v>
      </c>
      <c r="O30" s="12" t="s">
        <v>120</v>
      </c>
    </row>
    <row r="31" customFormat="false" ht="63.75" hidden="false" customHeight="true" outlineLevel="0" collapsed="false">
      <c r="A31" s="5" t="s">
        <v>121</v>
      </c>
      <c r="B31" s="6" t="s">
        <v>117</v>
      </c>
      <c r="C31" s="7" t="s">
        <v>122</v>
      </c>
      <c r="D31" s="8" t="s">
        <v>123</v>
      </c>
      <c r="E31" s="13" t="s">
        <v>21</v>
      </c>
      <c r="F31" s="23" t="n">
        <v>2500</v>
      </c>
      <c r="G31" s="13" t="s">
        <v>21</v>
      </c>
      <c r="H31" s="13" t="s">
        <v>21</v>
      </c>
      <c r="I31" s="13" t="s">
        <v>21</v>
      </c>
      <c r="J31" s="13" t="s">
        <v>21</v>
      </c>
      <c r="K31" s="23" t="n">
        <v>4225</v>
      </c>
      <c r="L31" s="23" t="n">
        <v>2275</v>
      </c>
      <c r="M31" s="13" t="s">
        <v>21</v>
      </c>
      <c r="N31" s="22" t="n">
        <f aca="false">SUMIF(E31:M31,"&gt;0")</f>
        <v>9000</v>
      </c>
      <c r="O31" s="12" t="s">
        <v>124</v>
      </c>
    </row>
    <row r="32" customFormat="false" ht="18" hidden="false" customHeight="true" outlineLevel="0" collapsed="false">
      <c r="A32" s="18" t="s">
        <v>125</v>
      </c>
      <c r="B32" s="18"/>
      <c r="C32" s="18"/>
      <c r="D32" s="18"/>
      <c r="E32" s="18"/>
      <c r="F32" s="18"/>
      <c r="G32" s="18"/>
      <c r="H32" s="18"/>
      <c r="I32" s="18"/>
      <c r="J32" s="18"/>
      <c r="K32" s="18"/>
      <c r="L32" s="18"/>
      <c r="M32" s="18"/>
      <c r="N32" s="18"/>
      <c r="O32" s="18"/>
    </row>
    <row r="33" customFormat="false" ht="39.75" hidden="false" customHeight="true" outlineLevel="0" collapsed="false">
      <c r="A33" s="5" t="s">
        <v>126</v>
      </c>
      <c r="B33" s="6" t="s">
        <v>127</v>
      </c>
      <c r="C33" s="7" t="s">
        <v>128</v>
      </c>
      <c r="D33" s="8" t="s">
        <v>129</v>
      </c>
      <c r="E33" s="20" t="s">
        <v>21</v>
      </c>
      <c r="F33" s="20" t="s">
        <v>21</v>
      </c>
      <c r="G33" s="20" t="s">
        <v>21</v>
      </c>
      <c r="H33" s="20" t="s">
        <v>21</v>
      </c>
      <c r="I33" s="20" t="s">
        <v>21</v>
      </c>
      <c r="J33" s="20" t="s">
        <v>21</v>
      </c>
      <c r="K33" s="21" t="n">
        <v>4000</v>
      </c>
      <c r="L33" s="20" t="s">
        <v>21</v>
      </c>
      <c r="M33" s="20" t="s">
        <v>21</v>
      </c>
      <c r="N33" s="22" t="n">
        <f aca="false">SUMIF(E33:M33,"&gt;0")</f>
        <v>4000</v>
      </c>
      <c r="O33" s="12" t="s">
        <v>130</v>
      </c>
    </row>
    <row r="34" customFormat="false" ht="48" hidden="false" customHeight="true" outlineLevel="0" collapsed="false">
      <c r="A34" s="5" t="s">
        <v>131</v>
      </c>
      <c r="B34" s="6" t="s">
        <v>127</v>
      </c>
      <c r="C34" s="7" t="s">
        <v>132</v>
      </c>
      <c r="D34" s="8" t="s">
        <v>133</v>
      </c>
      <c r="E34" s="20" t="s">
        <v>21</v>
      </c>
      <c r="F34" s="20" t="s">
        <v>21</v>
      </c>
      <c r="G34" s="20" t="s">
        <v>21</v>
      </c>
      <c r="H34" s="20" t="s">
        <v>21</v>
      </c>
      <c r="I34" s="20" t="s">
        <v>21</v>
      </c>
      <c r="J34" s="20" t="s">
        <v>21</v>
      </c>
      <c r="K34" s="21" t="n">
        <v>600</v>
      </c>
      <c r="L34" s="20" t="s">
        <v>21</v>
      </c>
      <c r="M34" s="20" t="s">
        <v>21</v>
      </c>
      <c r="N34" s="22" t="n">
        <f aca="false">SUMIF(E34:M34,"&gt;0")</f>
        <v>600</v>
      </c>
      <c r="O34" s="12" t="s">
        <v>134</v>
      </c>
    </row>
    <row r="35" customFormat="false" ht="39.75" hidden="false" customHeight="true" outlineLevel="0" collapsed="false">
      <c r="A35" s="5" t="s">
        <v>135</v>
      </c>
      <c r="B35" s="6" t="s">
        <v>127</v>
      </c>
      <c r="C35" s="7" t="s">
        <v>136</v>
      </c>
      <c r="D35" s="8" t="s">
        <v>137</v>
      </c>
      <c r="E35" s="20" t="s">
        <v>21</v>
      </c>
      <c r="F35" s="21" t="n">
        <v>3000</v>
      </c>
      <c r="G35" s="20" t="s">
        <v>21</v>
      </c>
      <c r="H35" s="20" t="s">
        <v>21</v>
      </c>
      <c r="I35" s="20" t="s">
        <v>21</v>
      </c>
      <c r="J35" s="20" t="s">
        <v>21</v>
      </c>
      <c r="K35" s="21" t="n">
        <v>3000</v>
      </c>
      <c r="L35" s="20" t="s">
        <v>21</v>
      </c>
      <c r="M35" s="20" t="s">
        <v>21</v>
      </c>
      <c r="N35" s="22" t="n">
        <f aca="false">SUMIF(E35:M35,"&gt;0")</f>
        <v>6000</v>
      </c>
      <c r="O35" s="12" t="s">
        <v>138</v>
      </c>
    </row>
  </sheetData>
  <mergeCells count="6">
    <mergeCell ref="A1:O1"/>
    <mergeCell ref="A3:O3"/>
    <mergeCell ref="A13:O13"/>
    <mergeCell ref="A24:O24"/>
    <mergeCell ref="A29:O29"/>
    <mergeCell ref="A32:O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8"/>
    <col collapsed="false" customWidth="true" hidden="false" outlineLevel="0" max="5" min="4" style="0" width="14"/>
    <col collapsed="false" customWidth="true" hidden="false" outlineLevel="0" max="7" min="6" style="0" width="18"/>
    <col collapsed="false" customWidth="true" hidden="false" outlineLevel="0" max="9" min="8" style="0" width="14"/>
    <col collapsed="false" customWidth="true" hidden="false" outlineLevel="0" max="10" min="10" style="0" width="42"/>
  </cols>
  <sheetData>
    <row r="1" customFormat="false" ht="21.75" hidden="false" customHeight="true" outlineLevel="0" collapsed="false">
      <c r="A1" s="1" t="s">
        <v>140</v>
      </c>
      <c r="B1" s="1"/>
      <c r="C1" s="1"/>
      <c r="D1" s="1"/>
      <c r="E1" s="1"/>
      <c r="F1" s="1"/>
      <c r="G1" s="1"/>
      <c r="H1" s="1"/>
      <c r="I1" s="1"/>
      <c r="J1" s="1"/>
    </row>
    <row r="2" customFormat="false" ht="27.75" hidden="false" customHeight="true" outlineLevel="0" collapsed="false">
      <c r="A2" s="2" t="s">
        <v>1</v>
      </c>
      <c r="B2" s="2" t="s">
        <v>141</v>
      </c>
      <c r="C2" s="2" t="s">
        <v>142</v>
      </c>
      <c r="D2" s="2" t="s">
        <v>143</v>
      </c>
      <c r="E2" s="2" t="s">
        <v>144</v>
      </c>
      <c r="F2" s="2" t="s">
        <v>145</v>
      </c>
      <c r="G2" s="2" t="s">
        <v>146</v>
      </c>
      <c r="H2" s="2" t="s">
        <v>147</v>
      </c>
      <c r="I2" s="2" t="s">
        <v>148</v>
      </c>
      <c r="J2" s="2" t="s">
        <v>149</v>
      </c>
    </row>
    <row r="3" customFormat="false" ht="18" hidden="false" customHeight="true" outlineLevel="0" collapsed="false">
      <c r="A3" s="4" t="s">
        <v>150</v>
      </c>
      <c r="B3" s="4"/>
      <c r="C3" s="4"/>
      <c r="D3" s="4"/>
      <c r="E3" s="4"/>
      <c r="F3" s="4"/>
      <c r="G3" s="4"/>
      <c r="H3" s="4"/>
      <c r="I3" s="4"/>
      <c r="J3" s="4"/>
    </row>
    <row r="4" customFormat="false" ht="36" hidden="false" customHeight="true" outlineLevel="0" collapsed="false">
      <c r="A4" s="24" t="s">
        <v>17</v>
      </c>
      <c r="B4" s="7" t="s">
        <v>151</v>
      </c>
      <c r="C4" s="25" t="s">
        <v>152</v>
      </c>
      <c r="D4" s="26" t="s">
        <v>153</v>
      </c>
      <c r="E4" s="27" t="s">
        <v>153</v>
      </c>
      <c r="F4" s="28" t="s">
        <v>154</v>
      </c>
      <c r="G4" s="29" t="s">
        <v>154</v>
      </c>
      <c r="H4" s="27" t="s">
        <v>155</v>
      </c>
      <c r="I4" s="30" t="s">
        <v>156</v>
      </c>
      <c r="J4" s="31" t="s">
        <v>22</v>
      </c>
    </row>
    <row r="5" customFormat="false" ht="36" hidden="false" customHeight="true" outlineLevel="0" collapsed="false">
      <c r="A5" s="24" t="s">
        <v>23</v>
      </c>
      <c r="B5" s="7" t="s">
        <v>157</v>
      </c>
      <c r="C5" s="25" t="s">
        <v>152</v>
      </c>
      <c r="D5" s="32" t="s">
        <v>158</v>
      </c>
      <c r="E5" s="27" t="s">
        <v>153</v>
      </c>
      <c r="F5" s="28" t="s">
        <v>159</v>
      </c>
      <c r="G5" s="29" t="s">
        <v>159</v>
      </c>
      <c r="H5" s="27" t="s">
        <v>155</v>
      </c>
      <c r="I5" s="30" t="s">
        <v>156</v>
      </c>
      <c r="J5" s="31" t="s">
        <v>26</v>
      </c>
    </row>
    <row r="6" customFormat="false" ht="36" hidden="false" customHeight="true" outlineLevel="0" collapsed="false">
      <c r="A6" s="24" t="s">
        <v>27</v>
      </c>
      <c r="B6" s="7" t="s">
        <v>160</v>
      </c>
      <c r="C6" s="25" t="s">
        <v>161</v>
      </c>
      <c r="D6" s="26" t="s">
        <v>153</v>
      </c>
      <c r="E6" s="33" t="s">
        <v>162</v>
      </c>
      <c r="F6" s="28" t="s">
        <v>163</v>
      </c>
      <c r="G6" s="29" t="s">
        <v>164</v>
      </c>
      <c r="H6" s="27" t="s">
        <v>155</v>
      </c>
      <c r="I6" s="30" t="s">
        <v>165</v>
      </c>
      <c r="J6" s="31" t="s">
        <v>30</v>
      </c>
    </row>
    <row r="7" customFormat="false" ht="36" hidden="false" customHeight="true" outlineLevel="0" collapsed="false">
      <c r="A7" s="24" t="s">
        <v>31</v>
      </c>
      <c r="B7" s="7" t="s">
        <v>166</v>
      </c>
      <c r="C7" s="25" t="s">
        <v>161</v>
      </c>
      <c r="D7" s="26" t="s">
        <v>153</v>
      </c>
      <c r="E7" s="33" t="s">
        <v>162</v>
      </c>
      <c r="F7" s="28" t="s">
        <v>167</v>
      </c>
      <c r="G7" s="29" t="s">
        <v>168</v>
      </c>
      <c r="H7" s="27" t="s">
        <v>155</v>
      </c>
      <c r="I7" s="30" t="s">
        <v>165</v>
      </c>
      <c r="J7" s="31" t="s">
        <v>34</v>
      </c>
    </row>
    <row r="8" customFormat="false" ht="36" hidden="false" customHeight="true" outlineLevel="0" collapsed="false">
      <c r="A8" s="24" t="s">
        <v>35</v>
      </c>
      <c r="B8" s="7" t="s">
        <v>169</v>
      </c>
      <c r="C8" s="25" t="s">
        <v>161</v>
      </c>
      <c r="D8" s="32" t="s">
        <v>158</v>
      </c>
      <c r="E8" s="33" t="s">
        <v>162</v>
      </c>
      <c r="F8" s="28" t="s">
        <v>170</v>
      </c>
      <c r="G8" s="29" t="s">
        <v>171</v>
      </c>
      <c r="H8" s="27" t="s">
        <v>155</v>
      </c>
      <c r="I8" s="30" t="s">
        <v>165</v>
      </c>
      <c r="J8" s="31" t="s">
        <v>38</v>
      </c>
    </row>
    <row r="9" customFormat="false" ht="36" hidden="false" customHeight="true" outlineLevel="0" collapsed="false">
      <c r="A9" s="24" t="s">
        <v>39</v>
      </c>
      <c r="B9" s="7" t="s">
        <v>172</v>
      </c>
      <c r="C9" s="25" t="s">
        <v>173</v>
      </c>
      <c r="D9" s="26" t="s">
        <v>153</v>
      </c>
      <c r="E9" s="33" t="s">
        <v>162</v>
      </c>
      <c r="F9" s="28" t="s">
        <v>174</v>
      </c>
      <c r="G9" s="29" t="s">
        <v>175</v>
      </c>
      <c r="H9" s="27" t="s">
        <v>155</v>
      </c>
      <c r="I9" s="30" t="s">
        <v>176</v>
      </c>
      <c r="J9" s="31" t="s">
        <v>42</v>
      </c>
    </row>
    <row r="10" customFormat="false" ht="36" hidden="false" customHeight="true" outlineLevel="0" collapsed="false">
      <c r="A10" s="24" t="s">
        <v>43</v>
      </c>
      <c r="B10" s="7" t="s">
        <v>177</v>
      </c>
      <c r="C10" s="25" t="s">
        <v>173</v>
      </c>
      <c r="D10" s="32" t="s">
        <v>158</v>
      </c>
      <c r="E10" s="33" t="s">
        <v>162</v>
      </c>
      <c r="F10" s="28" t="s">
        <v>178</v>
      </c>
      <c r="G10" s="29" t="s">
        <v>179</v>
      </c>
      <c r="H10" s="27" t="s">
        <v>155</v>
      </c>
      <c r="I10" s="30" t="s">
        <v>176</v>
      </c>
      <c r="J10" s="31" t="s">
        <v>46</v>
      </c>
    </row>
    <row r="11" customFormat="false" ht="36" hidden="false" customHeight="true" outlineLevel="0" collapsed="false">
      <c r="A11" s="24" t="s">
        <v>47</v>
      </c>
      <c r="B11" s="7" t="s">
        <v>180</v>
      </c>
      <c r="C11" s="25" t="s">
        <v>181</v>
      </c>
      <c r="D11" s="26" t="s">
        <v>153</v>
      </c>
      <c r="E11" s="33" t="s">
        <v>162</v>
      </c>
      <c r="F11" s="28" t="s">
        <v>182</v>
      </c>
      <c r="G11" s="29" t="s">
        <v>168</v>
      </c>
      <c r="H11" s="27" t="s">
        <v>155</v>
      </c>
      <c r="I11" s="30" t="s">
        <v>183</v>
      </c>
      <c r="J11" s="31" t="s">
        <v>50</v>
      </c>
    </row>
    <row r="12" customFormat="false" ht="36" hidden="false" customHeight="true" outlineLevel="0" collapsed="false">
      <c r="A12" s="24" t="s">
        <v>51</v>
      </c>
      <c r="B12" s="7" t="s">
        <v>184</v>
      </c>
      <c r="C12" s="25" t="s">
        <v>181</v>
      </c>
      <c r="D12" s="32" t="s">
        <v>158</v>
      </c>
      <c r="E12" s="33" t="s">
        <v>162</v>
      </c>
      <c r="F12" s="28" t="s">
        <v>185</v>
      </c>
      <c r="G12" s="29" t="s">
        <v>171</v>
      </c>
      <c r="H12" s="27" t="s">
        <v>155</v>
      </c>
      <c r="I12" s="30" t="s">
        <v>183</v>
      </c>
      <c r="J12" s="31" t="s">
        <v>54</v>
      </c>
    </row>
    <row r="13" customFormat="false" ht="18" hidden="false" customHeight="true" outlineLevel="0" collapsed="false">
      <c r="A13" s="15" t="s">
        <v>186</v>
      </c>
      <c r="B13" s="15"/>
      <c r="C13" s="15"/>
      <c r="D13" s="15"/>
      <c r="E13" s="15"/>
      <c r="F13" s="15"/>
      <c r="G13" s="15"/>
      <c r="H13" s="15"/>
      <c r="I13" s="15"/>
      <c r="J13" s="15"/>
    </row>
    <row r="14" customFormat="false" ht="36" hidden="false" customHeight="true" outlineLevel="0" collapsed="false">
      <c r="A14" s="24" t="s">
        <v>56</v>
      </c>
      <c r="B14" s="7" t="s">
        <v>187</v>
      </c>
      <c r="C14" s="25" t="s">
        <v>188</v>
      </c>
      <c r="D14" s="26" t="s">
        <v>153</v>
      </c>
      <c r="E14" s="33" t="s">
        <v>162</v>
      </c>
      <c r="F14" s="28" t="s">
        <v>189</v>
      </c>
      <c r="G14" s="29" t="s">
        <v>190</v>
      </c>
      <c r="H14" s="27" t="s">
        <v>155</v>
      </c>
      <c r="I14" s="30" t="s">
        <v>191</v>
      </c>
      <c r="J14" s="31" t="s">
        <v>60</v>
      </c>
    </row>
    <row r="15" customFormat="false" ht="36" hidden="false" customHeight="true" outlineLevel="0" collapsed="false">
      <c r="A15" s="24" t="s">
        <v>61</v>
      </c>
      <c r="B15" s="7" t="s">
        <v>192</v>
      </c>
      <c r="C15" s="25" t="s">
        <v>188</v>
      </c>
      <c r="D15" s="32" t="s">
        <v>158</v>
      </c>
      <c r="E15" s="33" t="s">
        <v>162</v>
      </c>
      <c r="F15" s="28" t="s">
        <v>193</v>
      </c>
      <c r="G15" s="29" t="s">
        <v>194</v>
      </c>
      <c r="H15" s="27" t="s">
        <v>155</v>
      </c>
      <c r="I15" s="30" t="s">
        <v>191</v>
      </c>
      <c r="J15" s="31" t="s">
        <v>64</v>
      </c>
    </row>
    <row r="16" customFormat="false" ht="36" hidden="false" customHeight="true" outlineLevel="0" collapsed="false">
      <c r="A16" s="24" t="s">
        <v>65</v>
      </c>
      <c r="B16" s="7" t="s">
        <v>195</v>
      </c>
      <c r="C16" s="25" t="s">
        <v>196</v>
      </c>
      <c r="D16" s="26" t="s">
        <v>153</v>
      </c>
      <c r="E16" s="33" t="s">
        <v>162</v>
      </c>
      <c r="F16" s="28" t="s">
        <v>197</v>
      </c>
      <c r="G16" s="29" t="s">
        <v>198</v>
      </c>
      <c r="H16" s="27" t="s">
        <v>155</v>
      </c>
      <c r="I16" s="30" t="s">
        <v>199</v>
      </c>
      <c r="J16" s="31" t="s">
        <v>68</v>
      </c>
    </row>
    <row r="17" customFormat="false" ht="36" hidden="false" customHeight="true" outlineLevel="0" collapsed="false">
      <c r="A17" s="24" t="s">
        <v>69</v>
      </c>
      <c r="B17" s="7" t="s">
        <v>200</v>
      </c>
      <c r="C17" s="25" t="s">
        <v>196</v>
      </c>
      <c r="D17" s="32" t="s">
        <v>158</v>
      </c>
      <c r="E17" s="33" t="s">
        <v>162</v>
      </c>
      <c r="F17" s="28" t="s">
        <v>170</v>
      </c>
      <c r="G17" s="29" t="s">
        <v>201</v>
      </c>
      <c r="H17" s="27" t="s">
        <v>155</v>
      </c>
      <c r="I17" s="30" t="s">
        <v>199</v>
      </c>
      <c r="J17" s="31" t="s">
        <v>72</v>
      </c>
    </row>
    <row r="18" customFormat="false" ht="36" hidden="false" customHeight="true" outlineLevel="0" collapsed="false">
      <c r="A18" s="24" t="s">
        <v>73</v>
      </c>
      <c r="B18" s="7" t="s">
        <v>202</v>
      </c>
      <c r="C18" s="25" t="s">
        <v>203</v>
      </c>
      <c r="D18" s="26" t="s">
        <v>153</v>
      </c>
      <c r="E18" s="33" t="s">
        <v>162</v>
      </c>
      <c r="F18" s="28" t="s">
        <v>204</v>
      </c>
      <c r="G18" s="29" t="s">
        <v>205</v>
      </c>
      <c r="H18" s="27" t="s">
        <v>155</v>
      </c>
      <c r="I18" s="30" t="s">
        <v>206</v>
      </c>
      <c r="J18" s="31" t="s">
        <v>76</v>
      </c>
    </row>
    <row r="19" customFormat="false" ht="36" hidden="false" customHeight="true" outlineLevel="0" collapsed="false">
      <c r="A19" s="24" t="s">
        <v>77</v>
      </c>
      <c r="B19" s="7" t="s">
        <v>207</v>
      </c>
      <c r="C19" s="25" t="s">
        <v>203</v>
      </c>
      <c r="D19" s="32" t="s">
        <v>158</v>
      </c>
      <c r="E19" s="33" t="s">
        <v>162</v>
      </c>
      <c r="F19" s="28" t="s">
        <v>208</v>
      </c>
      <c r="G19" s="29" t="s">
        <v>208</v>
      </c>
      <c r="H19" s="27" t="s">
        <v>155</v>
      </c>
      <c r="I19" s="30" t="s">
        <v>206</v>
      </c>
      <c r="J19" s="31" t="s">
        <v>80</v>
      </c>
    </row>
    <row r="20" customFormat="false" ht="36" hidden="false" customHeight="true" outlineLevel="0" collapsed="false">
      <c r="A20" s="24" t="s">
        <v>81</v>
      </c>
      <c r="B20" s="7" t="s">
        <v>209</v>
      </c>
      <c r="C20" s="25" t="s">
        <v>210</v>
      </c>
      <c r="D20" s="26" t="s">
        <v>153</v>
      </c>
      <c r="E20" s="33" t="s">
        <v>162</v>
      </c>
      <c r="F20" s="28" t="s">
        <v>211</v>
      </c>
      <c r="G20" s="29" t="s">
        <v>212</v>
      </c>
      <c r="H20" s="27" t="s">
        <v>155</v>
      </c>
      <c r="I20" s="30" t="s">
        <v>213</v>
      </c>
      <c r="J20" s="31" t="s">
        <v>84</v>
      </c>
    </row>
    <row r="21" customFormat="false" ht="36" hidden="false" customHeight="true" outlineLevel="0" collapsed="false">
      <c r="A21" s="24" t="s">
        <v>85</v>
      </c>
      <c r="B21" s="7" t="s">
        <v>214</v>
      </c>
      <c r="C21" s="25" t="s">
        <v>210</v>
      </c>
      <c r="D21" s="26" t="s">
        <v>153</v>
      </c>
      <c r="E21" s="33" t="s">
        <v>162</v>
      </c>
      <c r="F21" s="28" t="s">
        <v>215</v>
      </c>
      <c r="G21" s="29" t="s">
        <v>216</v>
      </c>
      <c r="H21" s="27" t="s">
        <v>155</v>
      </c>
      <c r="I21" s="30" t="s">
        <v>213</v>
      </c>
      <c r="J21" s="31" t="s">
        <v>88</v>
      </c>
    </row>
    <row r="22" customFormat="false" ht="36" hidden="false" customHeight="true" outlineLevel="0" collapsed="false">
      <c r="A22" s="24" t="s">
        <v>89</v>
      </c>
      <c r="B22" s="7" t="s">
        <v>217</v>
      </c>
      <c r="C22" s="25" t="s">
        <v>218</v>
      </c>
      <c r="D22" s="26" t="s">
        <v>153</v>
      </c>
      <c r="E22" s="33" t="s">
        <v>162</v>
      </c>
      <c r="F22" s="28" t="s">
        <v>211</v>
      </c>
      <c r="G22" s="29" t="s">
        <v>219</v>
      </c>
      <c r="H22" s="27" t="s">
        <v>155</v>
      </c>
      <c r="I22" s="30" t="s">
        <v>220</v>
      </c>
      <c r="J22" s="31" t="s">
        <v>92</v>
      </c>
    </row>
    <row r="23" customFormat="false" ht="36" hidden="false" customHeight="true" outlineLevel="0" collapsed="false">
      <c r="A23" s="24" t="s">
        <v>93</v>
      </c>
      <c r="B23" s="7" t="s">
        <v>221</v>
      </c>
      <c r="C23" s="25" t="s">
        <v>222</v>
      </c>
      <c r="D23" s="26" t="s">
        <v>153</v>
      </c>
      <c r="E23" s="33" t="s">
        <v>162</v>
      </c>
      <c r="F23" s="28" t="s">
        <v>223</v>
      </c>
      <c r="G23" s="29" t="s">
        <v>224</v>
      </c>
      <c r="H23" s="27" t="s">
        <v>155</v>
      </c>
      <c r="I23" s="30" t="s">
        <v>225</v>
      </c>
      <c r="J23" s="31" t="s">
        <v>96</v>
      </c>
    </row>
    <row r="24" customFormat="false" ht="18" hidden="false" customHeight="true" outlineLevel="0" collapsed="false">
      <c r="A24" s="16" t="s">
        <v>226</v>
      </c>
      <c r="B24" s="16"/>
      <c r="C24" s="16"/>
      <c r="D24" s="16"/>
      <c r="E24" s="16"/>
      <c r="F24" s="16"/>
      <c r="G24" s="16"/>
      <c r="H24" s="16"/>
      <c r="I24" s="16"/>
      <c r="J24" s="16"/>
    </row>
    <row r="25" customFormat="false" ht="48" hidden="false" customHeight="true" outlineLevel="0" collapsed="false">
      <c r="A25" s="24" t="s">
        <v>98</v>
      </c>
      <c r="B25" s="7" t="s">
        <v>227</v>
      </c>
      <c r="C25" s="25" t="s">
        <v>228</v>
      </c>
      <c r="D25" s="26" t="s">
        <v>153</v>
      </c>
      <c r="E25" s="33" t="s">
        <v>162</v>
      </c>
      <c r="F25" s="28" t="s">
        <v>229</v>
      </c>
      <c r="G25" s="29" t="s">
        <v>230</v>
      </c>
      <c r="H25" s="27" t="s">
        <v>155</v>
      </c>
      <c r="I25" s="30" t="s">
        <v>231</v>
      </c>
      <c r="J25" s="31" t="s">
        <v>102</v>
      </c>
    </row>
    <row r="26" customFormat="false" ht="48" hidden="false" customHeight="true" outlineLevel="0" collapsed="false">
      <c r="A26" s="24" t="s">
        <v>103</v>
      </c>
      <c r="B26" s="7" t="s">
        <v>232</v>
      </c>
      <c r="C26" s="25" t="s">
        <v>228</v>
      </c>
      <c r="D26" s="32" t="s">
        <v>158</v>
      </c>
      <c r="E26" s="33" t="s">
        <v>162</v>
      </c>
      <c r="F26" s="28" t="s">
        <v>233</v>
      </c>
      <c r="G26" s="29" t="s">
        <v>234</v>
      </c>
      <c r="H26" s="27" t="s">
        <v>155</v>
      </c>
      <c r="I26" s="30" t="s">
        <v>231</v>
      </c>
      <c r="J26" s="31" t="s">
        <v>106</v>
      </c>
    </row>
    <row r="27" customFormat="false" ht="48" hidden="false" customHeight="true" outlineLevel="0" collapsed="false">
      <c r="A27" s="24" t="s">
        <v>107</v>
      </c>
      <c r="B27" s="7" t="s">
        <v>235</v>
      </c>
      <c r="C27" s="25" t="s">
        <v>236</v>
      </c>
      <c r="D27" s="26" t="s">
        <v>153</v>
      </c>
      <c r="E27" s="33" t="s">
        <v>162</v>
      </c>
      <c r="F27" s="28" t="s">
        <v>237</v>
      </c>
      <c r="G27" s="29" t="s">
        <v>238</v>
      </c>
      <c r="H27" s="27" t="s">
        <v>155</v>
      </c>
      <c r="I27" s="30" t="s">
        <v>239</v>
      </c>
      <c r="J27" s="31" t="s">
        <v>110</v>
      </c>
    </row>
    <row r="28" customFormat="false" ht="48" hidden="false" customHeight="true" outlineLevel="0" collapsed="false">
      <c r="A28" s="24" t="s">
        <v>111</v>
      </c>
      <c r="B28" s="7" t="s">
        <v>240</v>
      </c>
      <c r="C28" s="25" t="s">
        <v>236</v>
      </c>
      <c r="D28" s="32" t="s">
        <v>158</v>
      </c>
      <c r="E28" s="33" t="s">
        <v>162</v>
      </c>
      <c r="F28" s="28" t="s">
        <v>241</v>
      </c>
      <c r="G28" s="29" t="s">
        <v>242</v>
      </c>
      <c r="H28" s="27" t="s">
        <v>155</v>
      </c>
      <c r="I28" s="30" t="s">
        <v>239</v>
      </c>
      <c r="J28" s="31" t="s">
        <v>114</v>
      </c>
    </row>
    <row r="29" customFormat="false" ht="18" hidden="false" customHeight="true" outlineLevel="0" collapsed="false">
      <c r="A29" s="17" t="s">
        <v>243</v>
      </c>
      <c r="B29" s="17"/>
      <c r="C29" s="17"/>
      <c r="D29" s="17"/>
      <c r="E29" s="17"/>
      <c r="F29" s="17"/>
      <c r="G29" s="17"/>
      <c r="H29" s="17"/>
      <c r="I29" s="17"/>
      <c r="J29" s="17"/>
    </row>
    <row r="30" customFormat="false" ht="63.75" hidden="false" customHeight="true" outlineLevel="0" collapsed="false">
      <c r="A30" s="24" t="s">
        <v>116</v>
      </c>
      <c r="B30" s="7" t="s">
        <v>244</v>
      </c>
      <c r="C30" s="25" t="s">
        <v>245</v>
      </c>
      <c r="D30" s="26" t="s">
        <v>153</v>
      </c>
      <c r="E30" s="33" t="s">
        <v>162</v>
      </c>
      <c r="F30" s="28" t="s">
        <v>246</v>
      </c>
      <c r="G30" s="29" t="s">
        <v>247</v>
      </c>
      <c r="H30" s="27" t="s">
        <v>155</v>
      </c>
      <c r="I30" s="30" t="s">
        <v>248</v>
      </c>
      <c r="J30" s="31" t="s">
        <v>120</v>
      </c>
    </row>
    <row r="31" customFormat="false" ht="63.75" hidden="false" customHeight="true" outlineLevel="0" collapsed="false">
      <c r="A31" s="24" t="s">
        <v>121</v>
      </c>
      <c r="B31" s="7" t="s">
        <v>249</v>
      </c>
      <c r="C31" s="25" t="s">
        <v>245</v>
      </c>
      <c r="D31" s="32" t="s">
        <v>158</v>
      </c>
      <c r="E31" s="33" t="s">
        <v>162</v>
      </c>
      <c r="F31" s="28" t="s">
        <v>250</v>
      </c>
      <c r="G31" s="29" t="s">
        <v>251</v>
      </c>
      <c r="H31" s="27" t="s">
        <v>155</v>
      </c>
      <c r="I31" s="30" t="s">
        <v>248</v>
      </c>
      <c r="J31" s="31" t="s">
        <v>124</v>
      </c>
    </row>
    <row r="32" customFormat="false" ht="18" hidden="false" customHeight="true" outlineLevel="0" collapsed="false">
      <c r="A32" s="18" t="s">
        <v>252</v>
      </c>
      <c r="B32" s="18"/>
      <c r="C32" s="18"/>
      <c r="D32" s="18"/>
      <c r="E32" s="18"/>
      <c r="F32" s="18"/>
      <c r="G32" s="18"/>
      <c r="H32" s="18"/>
      <c r="I32" s="18"/>
      <c r="J32" s="18"/>
    </row>
    <row r="33" customFormat="false" ht="36" hidden="false" customHeight="true" outlineLevel="0" collapsed="false">
      <c r="A33" s="24" t="s">
        <v>126</v>
      </c>
      <c r="B33" s="7" t="s">
        <v>253</v>
      </c>
      <c r="C33" s="25" t="s">
        <v>181</v>
      </c>
      <c r="D33" s="26" t="s">
        <v>153</v>
      </c>
      <c r="E33" s="33" t="s">
        <v>162</v>
      </c>
      <c r="F33" s="28" t="s">
        <v>254</v>
      </c>
      <c r="G33" s="29" t="s">
        <v>255</v>
      </c>
      <c r="H33" s="27" t="s">
        <v>155</v>
      </c>
      <c r="I33" s="30" t="s">
        <v>256</v>
      </c>
      <c r="J33" s="31" t="s">
        <v>130</v>
      </c>
    </row>
    <row r="34" customFormat="false" ht="48" hidden="false" customHeight="true" outlineLevel="0" collapsed="false">
      <c r="A34" s="24" t="s">
        <v>131</v>
      </c>
      <c r="B34" s="7" t="s">
        <v>257</v>
      </c>
      <c r="C34" s="25" t="s">
        <v>161</v>
      </c>
      <c r="D34" s="26" t="s">
        <v>153</v>
      </c>
      <c r="E34" s="33" t="s">
        <v>162</v>
      </c>
      <c r="F34" s="28" t="s">
        <v>258</v>
      </c>
      <c r="G34" s="29" t="s">
        <v>259</v>
      </c>
      <c r="H34" s="27" t="s">
        <v>155</v>
      </c>
      <c r="I34" s="30" t="s">
        <v>260</v>
      </c>
      <c r="J34" s="31" t="s">
        <v>134</v>
      </c>
    </row>
    <row r="35" customFormat="false" ht="36" hidden="false" customHeight="true" outlineLevel="0" collapsed="false">
      <c r="A35" s="24" t="s">
        <v>135</v>
      </c>
      <c r="B35" s="7" t="s">
        <v>261</v>
      </c>
      <c r="C35" s="25" t="s">
        <v>196</v>
      </c>
      <c r="D35" s="26" t="s">
        <v>153</v>
      </c>
      <c r="E35" s="33" t="s">
        <v>162</v>
      </c>
      <c r="F35" s="28" t="s">
        <v>262</v>
      </c>
      <c r="G35" s="29" t="s">
        <v>263</v>
      </c>
      <c r="H35" s="27" t="s">
        <v>155</v>
      </c>
      <c r="I35" s="30" t="s">
        <v>199</v>
      </c>
      <c r="J35" s="31" t="s">
        <v>138</v>
      </c>
    </row>
  </sheetData>
  <mergeCells count="6">
    <mergeCell ref="A1:J1"/>
    <mergeCell ref="A3:J3"/>
    <mergeCell ref="A13:J13"/>
    <mergeCell ref="A24:J24"/>
    <mergeCell ref="A29:J29"/>
    <mergeCell ref="A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82"/>
  </cols>
  <sheetData>
    <row r="1" customFormat="false" ht="21.75" hidden="false" customHeight="true" outlineLevel="0" collapsed="false">
      <c r="A1" s="34" t="s">
        <v>264</v>
      </c>
      <c r="B1" s="34"/>
    </row>
    <row r="2" customFormat="false" ht="18" hidden="false" customHeight="true" outlineLevel="0" collapsed="false">
      <c r="A2" s="35" t="s">
        <v>265</v>
      </c>
      <c r="B2" s="35"/>
    </row>
    <row r="3" customFormat="false" ht="15.75" hidden="false" customHeight="true" outlineLevel="0" collapsed="false">
      <c r="A3" s="36" t="s">
        <v>266</v>
      </c>
      <c r="B3" s="37" t="s">
        <v>267</v>
      </c>
    </row>
    <row r="4" customFormat="false" ht="15.75" hidden="false" customHeight="true" outlineLevel="0" collapsed="false">
      <c r="A4" s="36" t="s">
        <v>268</v>
      </c>
      <c r="B4" s="37" t="s">
        <v>269</v>
      </c>
    </row>
    <row r="5" customFormat="false" ht="15.75" hidden="false" customHeight="true" outlineLevel="0" collapsed="false">
      <c r="A5" s="36" t="s">
        <v>270</v>
      </c>
      <c r="B5" s="37" t="s">
        <v>271</v>
      </c>
    </row>
    <row r="6" customFormat="false" ht="18" hidden="false" customHeight="true" outlineLevel="0" collapsed="false">
      <c r="A6" s="35" t="s">
        <v>272</v>
      </c>
      <c r="B6" s="35"/>
    </row>
    <row r="7" customFormat="false" ht="15.75" hidden="false" customHeight="true" outlineLevel="0" collapsed="false">
      <c r="A7" s="38" t="s">
        <v>273</v>
      </c>
      <c r="B7" s="39" t="s">
        <v>274</v>
      </c>
    </row>
    <row r="8" customFormat="false" ht="15.75" hidden="false" customHeight="true" outlineLevel="0" collapsed="false">
      <c r="A8" s="38" t="s">
        <v>275</v>
      </c>
      <c r="B8" s="39" t="s">
        <v>276</v>
      </c>
    </row>
    <row r="9" customFormat="false" ht="15.75" hidden="false" customHeight="true" outlineLevel="0" collapsed="false">
      <c r="A9" s="38" t="s">
        <v>277</v>
      </c>
      <c r="B9" s="39" t="s">
        <v>278</v>
      </c>
    </row>
    <row r="10" customFormat="false" ht="15.75" hidden="false" customHeight="true" outlineLevel="0" collapsed="false">
      <c r="A10" s="38" t="s">
        <v>279</v>
      </c>
      <c r="B10" s="39" t="s">
        <v>280</v>
      </c>
    </row>
    <row r="11" customFormat="false" ht="15.75" hidden="false" customHeight="true" outlineLevel="0" collapsed="false">
      <c r="A11" s="38" t="s">
        <v>281</v>
      </c>
      <c r="B11" s="39" t="s">
        <v>282</v>
      </c>
    </row>
    <row r="12" customFormat="false" ht="15.75" hidden="false" customHeight="true" outlineLevel="0" collapsed="false">
      <c r="A12" s="38" t="s">
        <v>283</v>
      </c>
      <c r="B12" s="39" t="s">
        <v>284</v>
      </c>
    </row>
    <row r="13" customFormat="false" ht="15.75" hidden="false" customHeight="true" outlineLevel="0" collapsed="false">
      <c r="A13" s="38" t="s">
        <v>285</v>
      </c>
      <c r="B13" s="39" t="s">
        <v>286</v>
      </c>
    </row>
    <row r="14" customFormat="false" ht="18" hidden="false" customHeight="true" outlineLevel="0" collapsed="false">
      <c r="A14" s="35" t="s">
        <v>287</v>
      </c>
      <c r="B14" s="35"/>
    </row>
    <row r="15" customFormat="false" ht="15.75" hidden="false" customHeight="true" outlineLevel="0" collapsed="false">
      <c r="A15" s="36" t="s">
        <v>288</v>
      </c>
      <c r="B15" s="37" t="s">
        <v>289</v>
      </c>
    </row>
    <row r="16" customFormat="false" ht="15.75" hidden="false" customHeight="true" outlineLevel="0" collapsed="false">
      <c r="A16" s="36" t="s">
        <v>290</v>
      </c>
      <c r="B16" s="37" t="s">
        <v>291</v>
      </c>
    </row>
    <row r="17" customFormat="false" ht="15.75" hidden="false" customHeight="true" outlineLevel="0" collapsed="false">
      <c r="A17" s="36" t="s">
        <v>292</v>
      </c>
      <c r="B17" s="37" t="s">
        <v>293</v>
      </c>
    </row>
    <row r="18" customFormat="false" ht="15.75" hidden="false" customHeight="true" outlineLevel="0" collapsed="false">
      <c r="A18" s="36" t="s">
        <v>294</v>
      </c>
      <c r="B18" s="37" t="s">
        <v>295</v>
      </c>
    </row>
    <row r="19" customFormat="false" ht="18" hidden="false" customHeight="true" outlineLevel="0" collapsed="false">
      <c r="A19" s="35" t="s">
        <v>296</v>
      </c>
      <c r="B19" s="35"/>
    </row>
    <row r="20" customFormat="false" ht="15.75" hidden="false" customHeight="true" outlineLevel="0" collapsed="false">
      <c r="A20" s="38" t="s">
        <v>297</v>
      </c>
      <c r="B20" s="39" t="s">
        <v>298</v>
      </c>
    </row>
    <row r="21" customFormat="false" ht="15.75" hidden="false" customHeight="true" outlineLevel="0" collapsed="false">
      <c r="A21" s="38" t="s">
        <v>299</v>
      </c>
      <c r="B21" s="39" t="s">
        <v>300</v>
      </c>
    </row>
    <row r="22" customFormat="false" ht="15.75" hidden="false" customHeight="true" outlineLevel="0" collapsed="false">
      <c r="A22" s="38" t="s">
        <v>97</v>
      </c>
      <c r="B22" s="39" t="s">
        <v>301</v>
      </c>
    </row>
    <row r="23" customFormat="false" ht="15.75" hidden="false" customHeight="true" outlineLevel="0" collapsed="false">
      <c r="A23" s="38" t="s">
        <v>302</v>
      </c>
      <c r="B23" s="39" t="s">
        <v>303</v>
      </c>
    </row>
    <row r="24" customFormat="false" ht="15.75" hidden="false" customHeight="true" outlineLevel="0" collapsed="false">
      <c r="A24" s="38" t="s">
        <v>304</v>
      </c>
      <c r="B24" s="39" t="s">
        <v>305</v>
      </c>
    </row>
    <row r="25" customFormat="false" ht="18" hidden="false" customHeight="true" outlineLevel="0" collapsed="false">
      <c r="A25" s="35" t="s">
        <v>306</v>
      </c>
      <c r="B25" s="35"/>
    </row>
    <row r="26" customFormat="false" ht="15.75" hidden="false" customHeight="true" outlineLevel="0" collapsed="false">
      <c r="A26" s="36" t="s">
        <v>307</v>
      </c>
      <c r="B26" s="37" t="s">
        <v>308</v>
      </c>
    </row>
    <row r="27" customFormat="false" ht="15.75" hidden="false" customHeight="true" outlineLevel="0" collapsed="false">
      <c r="A27" s="36" t="s">
        <v>309</v>
      </c>
      <c r="B27" s="37" t="s">
        <v>310</v>
      </c>
    </row>
    <row r="28" customFormat="false" ht="15.75" hidden="false" customHeight="true" outlineLevel="0" collapsed="false">
      <c r="A28" s="36" t="s">
        <v>311</v>
      </c>
      <c r="B28" s="37" t="s">
        <v>312</v>
      </c>
    </row>
    <row r="29" customFormat="false" ht="15.75" hidden="false" customHeight="true" outlineLevel="0" collapsed="false">
      <c r="A29" s="36" t="s">
        <v>313</v>
      </c>
      <c r="B29" s="37" t="s">
        <v>314</v>
      </c>
    </row>
    <row r="30" customFormat="false" ht="15.75" hidden="false" customHeight="true" outlineLevel="0" collapsed="false">
      <c r="A30" s="36" t="s">
        <v>315</v>
      </c>
      <c r="B30" s="37" t="s">
        <v>316</v>
      </c>
    </row>
    <row r="31" customFormat="false" ht="15.75" hidden="false" customHeight="true" outlineLevel="0" collapsed="false">
      <c r="A31" s="36" t="s">
        <v>317</v>
      </c>
      <c r="B31" s="37" t="s">
        <v>318</v>
      </c>
    </row>
    <row r="32" customFormat="false" ht="15.75" hidden="false" customHeight="true" outlineLevel="0" collapsed="false">
      <c r="A32" s="36" t="s">
        <v>319</v>
      </c>
      <c r="B32" s="37" t="s">
        <v>320</v>
      </c>
    </row>
    <row r="33" customFormat="false" ht="15.75" hidden="false" customHeight="true" outlineLevel="0" collapsed="false">
      <c r="A33" s="36" t="s">
        <v>321</v>
      </c>
      <c r="B33" s="37" t="s">
        <v>322</v>
      </c>
    </row>
    <row r="34" customFormat="false" ht="18" hidden="false" customHeight="true" outlineLevel="0" collapsed="false">
      <c r="A34" s="35" t="s">
        <v>323</v>
      </c>
      <c r="B34" s="35"/>
    </row>
    <row r="35" customFormat="false" ht="15.75" hidden="false" customHeight="true" outlineLevel="0" collapsed="false">
      <c r="A35" s="36"/>
      <c r="B35" s="40" t="s">
        <v>324</v>
      </c>
    </row>
    <row r="36" customFormat="false" ht="15.75" hidden="false" customHeight="true" outlineLevel="0" collapsed="false">
      <c r="A36" s="41" t="s">
        <v>325</v>
      </c>
      <c r="B36" s="42" t="s">
        <v>326</v>
      </c>
    </row>
    <row r="37" customFormat="false" ht="15.75" hidden="false" customHeight="true" outlineLevel="0" collapsed="false">
      <c r="A37" s="41" t="s">
        <v>327</v>
      </c>
      <c r="B37" s="42" t="s">
        <v>328</v>
      </c>
    </row>
    <row r="38" customFormat="false" ht="15.75" hidden="false" customHeight="true" outlineLevel="0" collapsed="false">
      <c r="A38" s="41" t="s">
        <v>329</v>
      </c>
      <c r="B38" s="42" t="s">
        <v>330</v>
      </c>
    </row>
    <row r="39" customFormat="false" ht="15.75" hidden="false" customHeight="true" outlineLevel="0" collapsed="false">
      <c r="A39" s="41" t="s">
        <v>331</v>
      </c>
      <c r="B39" s="42" t="s">
        <v>332</v>
      </c>
    </row>
    <row r="40" customFormat="false" ht="15.75" hidden="false" customHeight="true" outlineLevel="0" collapsed="false">
      <c r="A40" s="43" t="s">
        <v>333</v>
      </c>
      <c r="B40" s="44" t="s">
        <v>334</v>
      </c>
    </row>
    <row r="41" customFormat="false" ht="18" hidden="false" customHeight="true" outlineLevel="0" collapsed="false">
      <c r="A41" s="35" t="s">
        <v>335</v>
      </c>
      <c r="B41" s="35"/>
    </row>
    <row r="42" customFormat="false" ht="15.75" hidden="false" customHeight="true" outlineLevel="0" collapsed="false">
      <c r="A42" s="36" t="s">
        <v>336</v>
      </c>
      <c r="B42" s="37" t="s">
        <v>337</v>
      </c>
    </row>
    <row r="43" customFormat="false" ht="15.75" hidden="false" customHeight="true" outlineLevel="0" collapsed="false">
      <c r="A43" s="36" t="s">
        <v>338</v>
      </c>
      <c r="B43" s="37" t="s">
        <v>339</v>
      </c>
    </row>
    <row r="44" customFormat="false" ht="15.75" hidden="false" customHeight="true" outlineLevel="0" collapsed="false">
      <c r="A44" s="36" t="s">
        <v>340</v>
      </c>
      <c r="B44" s="37" t="s">
        <v>341</v>
      </c>
    </row>
    <row r="45" customFormat="false" ht="15.75" hidden="false" customHeight="true" outlineLevel="0" collapsed="false">
      <c r="A45" s="36" t="s">
        <v>342</v>
      </c>
      <c r="B45" s="37" t="s">
        <v>343</v>
      </c>
    </row>
    <row r="46" customFormat="false" ht="15.75" hidden="false" customHeight="true" outlineLevel="0" collapsed="false">
      <c r="A46" s="36" t="s">
        <v>344</v>
      </c>
      <c r="B46" s="37" t="s">
        <v>345</v>
      </c>
    </row>
    <row r="47" customFormat="false" ht="15.75" hidden="false" customHeight="true" outlineLevel="0" collapsed="false">
      <c r="A47" s="36" t="s">
        <v>346</v>
      </c>
      <c r="B47" s="37" t="s">
        <v>347</v>
      </c>
    </row>
    <row r="48" customFormat="false" ht="15.75" hidden="false" customHeight="true" outlineLevel="0" collapsed="false">
      <c r="A48" s="36" t="s">
        <v>348</v>
      </c>
      <c r="B48" s="37" t="s">
        <v>349</v>
      </c>
    </row>
    <row r="49" customFormat="false" ht="15.75" hidden="false" customHeight="true" outlineLevel="0" collapsed="false">
      <c r="A49" s="36" t="s">
        <v>350</v>
      </c>
      <c r="B49" s="37" t="s">
        <v>351</v>
      </c>
    </row>
    <row r="50" customFormat="false" ht="15.75" hidden="false" customHeight="true" outlineLevel="0" collapsed="false">
      <c r="A50" s="36" t="s">
        <v>352</v>
      </c>
      <c r="B50" s="37" t="s">
        <v>353</v>
      </c>
    </row>
    <row r="51" customFormat="false" ht="15.75" hidden="false" customHeight="true" outlineLevel="0" collapsed="false">
      <c r="A51" s="36" t="s">
        <v>354</v>
      </c>
      <c r="B51" s="37" t="s">
        <v>355</v>
      </c>
    </row>
  </sheetData>
  <mergeCells count="8">
    <mergeCell ref="A1:B1"/>
    <mergeCell ref="A2:B2"/>
    <mergeCell ref="A6:B6"/>
    <mergeCell ref="A14:B14"/>
    <mergeCell ref="A19:B19"/>
    <mergeCell ref="A25:B25"/>
    <mergeCell ref="A34:B34"/>
    <mergeCell ref="A41:B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2026-04-04T07:04:24Z</dcterms:created>
  <dc:creator>openpyxl</dc:creator>
  <dc:description/>
  <dc:language>en-US</dc:language>
  <cp:lastModifiedBy/>
  <dcterms:modified xsi:type="dcterms:W3CDTF">2026-04-04T07:04:25Z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